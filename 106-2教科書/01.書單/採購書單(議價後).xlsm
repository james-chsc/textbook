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497" windowHeight="12259" tabRatio="670" firstSheet="1" activeTab="9"/>
  </bookViews>
  <sheets>
    <sheet name="書商" sheetId="7" r:id="rId1"/>
    <sheet name="書單(班)" sheetId="10" r:id="rId2"/>
    <sheet name="x1書單_書商" sheetId="18" r:id="rId3"/>
    <sheet name="書單_書商1" sheetId="21" r:id="rId4"/>
    <sheet name="書單_書商2" sheetId="22" r:id="rId5"/>
    <sheet name="書商金額統計" sheetId="8" r:id="rId6"/>
    <sheet name="x1訂購數量" sheetId="12" r:id="rId7"/>
    <sheet name="訂購數量" sheetId="13" r:id="rId8"/>
    <sheet name="產生訂購單" sheetId="15" r:id="rId9"/>
    <sheet name="訂購數量表" sheetId="17" r:id="rId10"/>
  </sheets>
  <functionGroups builtInGroupCount="17"/>
  <definedNames>
    <definedName name="_xlnm._FilterDatabase" localSheetId="9" hidden="1">訂購數量表!$A$1:$V$2</definedName>
    <definedName name="_xlnm._FilterDatabase" localSheetId="1" hidden="1">'書單(班)'!$A$1:$K$484</definedName>
    <definedName name="_xlnm._FilterDatabase" localSheetId="3" hidden="1">書單_書商1!$A$2:$M$188</definedName>
    <definedName name="_xlnm._FilterDatabase" localSheetId="8" hidden="1">產生訂購單!$A$1:$I$3</definedName>
    <definedName name="_xlnm.Print_Area" localSheetId="5">書商金額統計!$G$2:$N$20</definedName>
    <definedName name="_xlnm.Print_Titles" localSheetId="9">訂購數量表!$1:$5</definedName>
    <definedName name="_xlnm.Print_Titles" localSheetId="3">書單_書商1!$1:$2</definedName>
    <definedName name="_xlnm.Print_Titles" localSheetId="4">書單_書商2!$1:$2</definedName>
    <definedName name="年級" localSheetId="9">訂購數量表!#REF!</definedName>
    <definedName name="年級" localSheetId="8">產生訂購單!$B$7</definedName>
    <definedName name="書商" localSheetId="9">訂購數量表!#REF!</definedName>
    <definedName name="書商" localSheetId="8">產生訂購單!$B$5</definedName>
    <definedName name="部別" localSheetId="9">訂購數量表!#REF!</definedName>
    <definedName name="部別" localSheetId="8">產生訂購單!$B$3</definedName>
  </definedNames>
  <calcPr calcId="145621"/>
  <pivotCaches>
    <pivotCache cacheId="0" r:id="rId11"/>
    <pivotCache cacheId="34" r:id="rId12"/>
  </pivotCaches>
</workbook>
</file>

<file path=xl/calcChain.xml><?xml version="1.0" encoding="utf-8"?>
<calcChain xmlns="http://schemas.openxmlformats.org/spreadsheetml/2006/main">
  <c r="I69" i="22" l="1"/>
  <c r="H190" i="21" l="1"/>
  <c r="A2" i="17" l="1"/>
  <c r="AB87" i="13" l="1"/>
  <c r="AB88" i="13"/>
  <c r="AB89" i="13"/>
  <c r="AB86" i="13"/>
  <c r="AB75" i="13"/>
  <c r="AB76" i="13"/>
  <c r="AB77" i="13"/>
  <c r="AB78" i="13"/>
  <c r="AB79" i="13"/>
  <c r="AB80" i="13"/>
  <c r="AB81" i="13"/>
  <c r="AB82" i="13"/>
  <c r="AB74" i="13"/>
  <c r="AB62" i="13"/>
  <c r="AB63" i="13"/>
  <c r="AB64" i="13"/>
  <c r="AB65" i="13"/>
  <c r="AB66" i="13"/>
  <c r="AB67" i="13"/>
  <c r="AB68" i="13"/>
  <c r="AB69" i="13"/>
  <c r="AB70" i="13"/>
  <c r="AB61" i="13"/>
  <c r="AB48" i="13"/>
  <c r="AB49" i="13"/>
  <c r="AB50" i="13"/>
  <c r="AB51" i="13"/>
  <c r="AB52" i="13"/>
  <c r="AB53" i="13"/>
  <c r="AB54" i="13"/>
  <c r="AB55" i="13"/>
  <c r="AB56" i="13"/>
  <c r="AB47" i="13"/>
  <c r="AB28" i="13"/>
  <c r="AB29" i="13"/>
  <c r="AB30" i="13"/>
  <c r="AB31" i="13"/>
  <c r="AB32" i="13"/>
  <c r="AB33" i="13"/>
  <c r="AB34" i="13"/>
  <c r="AB35" i="13"/>
  <c r="AB36" i="13"/>
  <c r="AB37" i="13"/>
  <c r="AB38" i="13"/>
  <c r="AB39" i="13"/>
  <c r="AB40" i="13"/>
  <c r="AB41" i="13"/>
  <c r="AB42" i="13"/>
  <c r="AB43" i="13"/>
  <c r="AB27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3" i="13"/>
  <c r="H16" i="8"/>
  <c r="K6" i="8"/>
  <c r="K11" i="8"/>
  <c r="L17" i="8"/>
  <c r="H7" i="8"/>
  <c r="H5" i="8"/>
  <c r="J9" i="8"/>
  <c r="L11" i="8"/>
  <c r="J6" i="8"/>
  <c r="K12" i="8"/>
  <c r="L6" i="8"/>
  <c r="J19" i="8"/>
  <c r="K9" i="8"/>
  <c r="K18" i="8"/>
  <c r="K16" i="8"/>
  <c r="K7" i="8"/>
  <c r="J17" i="8"/>
  <c r="H6" i="8"/>
  <c r="L18" i="8"/>
  <c r="H11" i="8"/>
  <c r="H17" i="8"/>
  <c r="L5" i="8"/>
  <c r="L15" i="8"/>
  <c r="L14" i="8"/>
  <c r="K13" i="8"/>
  <c r="J11" i="8"/>
  <c r="L9" i="8"/>
  <c r="H18" i="8"/>
  <c r="H12" i="8"/>
  <c r="J14" i="8"/>
  <c r="L12" i="8"/>
  <c r="K10" i="8"/>
  <c r="H8" i="8"/>
  <c r="J12" i="8"/>
  <c r="K8" i="8"/>
  <c r="L10" i="8"/>
  <c r="H10" i="8"/>
  <c r="H13" i="8"/>
  <c r="H9" i="8"/>
  <c r="L8" i="8"/>
  <c r="L7" i="8"/>
  <c r="J10" i="8"/>
  <c r="H14" i="8"/>
  <c r="K15" i="8"/>
  <c r="K19" i="8"/>
  <c r="K5" i="8"/>
  <c r="K14" i="8"/>
  <c r="J8" i="8"/>
  <c r="J5" i="8"/>
  <c r="J18" i="8"/>
  <c r="J15" i="8"/>
  <c r="J13" i="8"/>
  <c r="K17" i="8"/>
  <c r="J7" i="8"/>
  <c r="H19" i="8"/>
  <c r="L13" i="8"/>
  <c r="L19" i="8"/>
  <c r="H15" i="8"/>
  <c r="M14" i="8" l="1"/>
  <c r="M16" i="8"/>
  <c r="M15" i="8"/>
  <c r="M9" i="8"/>
  <c r="M8" i="8"/>
  <c r="M7" i="8"/>
  <c r="M10" i="8"/>
  <c r="M18" i="8"/>
  <c r="M17" i="8"/>
  <c r="M13" i="8"/>
  <c r="M6" i="8"/>
  <c r="M19" i="8"/>
  <c r="M12" i="8"/>
  <c r="M11" i="8"/>
  <c r="M5" i="8"/>
  <c r="AB57" i="13"/>
  <c r="AB83" i="13"/>
  <c r="AB90" i="13"/>
  <c r="I11" i="8"/>
  <c r="I16" i="8"/>
  <c r="L20" i="8"/>
  <c r="I5" i="8"/>
  <c r="I15" i="8"/>
  <c r="I12" i="8"/>
  <c r="I8" i="8"/>
  <c r="I19" i="8"/>
  <c r="I9" i="8"/>
  <c r="J20" i="8"/>
  <c r="I10" i="8"/>
  <c r="I13" i="8"/>
  <c r="I14" i="8"/>
  <c r="I17" i="8"/>
  <c r="K20" i="8"/>
  <c r="I18" i="8"/>
  <c r="I7" i="8"/>
  <c r="I6" i="8"/>
  <c r="AB44" i="13"/>
  <c r="AB71" i="13"/>
  <c r="AB91" i="13" s="1"/>
  <c r="AB24" i="13"/>
  <c r="AB92" i="13" l="1"/>
  <c r="AB58" i="13"/>
</calcChain>
</file>

<file path=xl/sharedStrings.xml><?xml version="1.0" encoding="utf-8"?>
<sst xmlns="http://schemas.openxmlformats.org/spreadsheetml/2006/main" count="7707" uniqueCount="569">
  <si>
    <t>年級</t>
  </si>
  <si>
    <t>作者</t>
  </si>
  <si>
    <t>審定字號</t>
  </si>
  <si>
    <t>執照期限</t>
  </si>
  <si>
    <t>一</t>
  </si>
  <si>
    <t>翰林</t>
  </si>
  <si>
    <t>高中國文(二)</t>
  </si>
  <si>
    <t>宋隆發.等</t>
  </si>
  <si>
    <t>0847</t>
  </si>
  <si>
    <t>101-09-18~108-07-31</t>
  </si>
  <si>
    <t>三民</t>
  </si>
  <si>
    <t>歷史(二)</t>
  </si>
  <si>
    <t>薛化元</t>
  </si>
  <si>
    <t>0871</t>
  </si>
  <si>
    <t>101-12-07~107-12-06</t>
  </si>
  <si>
    <t>高中地理(二)</t>
  </si>
  <si>
    <t>賴進貴.等</t>
  </si>
  <si>
    <t>0618</t>
  </si>
  <si>
    <t>099-09-29~108-07-31</t>
  </si>
  <si>
    <t>公民與社會(二)</t>
  </si>
  <si>
    <t>李酉潭.等</t>
  </si>
  <si>
    <t>0630</t>
  </si>
  <si>
    <t>099-11-04~108-07-31</t>
  </si>
  <si>
    <t>高中英文(二)</t>
  </si>
  <si>
    <t>車蓓群</t>
  </si>
  <si>
    <t>0926</t>
  </si>
  <si>
    <t>103-05-13~109-05-12</t>
  </si>
  <si>
    <t>南一</t>
  </si>
  <si>
    <t>高中數學(二)</t>
  </si>
  <si>
    <t>林福來</t>
  </si>
  <si>
    <t>0584</t>
  </si>
  <si>
    <t>099-06-11~107-06-10</t>
  </si>
  <si>
    <t>全華</t>
  </si>
  <si>
    <t>基礎地球科學(下)</t>
  </si>
  <si>
    <t>王乾盈</t>
  </si>
  <si>
    <t>0623</t>
  </si>
  <si>
    <t>099-10-12~108-07-31</t>
  </si>
  <si>
    <t>基礎生物(上)</t>
  </si>
  <si>
    <t>趙大衛</t>
  </si>
  <si>
    <t>0538</t>
  </si>
  <si>
    <t>099-02-24~108-07-31</t>
  </si>
  <si>
    <t>華興</t>
  </si>
  <si>
    <t>體育(Ⅱ)</t>
  </si>
  <si>
    <t>沈易利.等</t>
  </si>
  <si>
    <t>01716</t>
  </si>
  <si>
    <t>099-10-04~107-07-31</t>
  </si>
  <si>
    <t>育達</t>
  </si>
  <si>
    <t>健康與護理(Ⅱ)</t>
  </si>
  <si>
    <t>鄭美治.等</t>
  </si>
  <si>
    <t>0565</t>
  </si>
  <si>
    <t>全民國防教育(Ⅱ)</t>
  </si>
  <si>
    <t>高德智.等</t>
  </si>
  <si>
    <t>0497</t>
  </si>
  <si>
    <t>098-11-23~108-07-31</t>
  </si>
  <si>
    <t>部別</t>
  </si>
  <si>
    <t>班級</t>
  </si>
  <si>
    <t>書商</t>
  </si>
  <si>
    <t>書名</t>
  </si>
  <si>
    <t>人數</t>
  </si>
  <si>
    <t>金額</t>
  </si>
  <si>
    <t>日校</t>
  </si>
  <si>
    <t>東大</t>
  </si>
  <si>
    <t>高職國文(二)</t>
  </si>
  <si>
    <t>王基倫.等</t>
  </si>
  <si>
    <t>01721</t>
  </si>
  <si>
    <t>099-10-07~107-07-31</t>
  </si>
  <si>
    <t>高職英文(二)</t>
  </si>
  <si>
    <t>02514</t>
  </si>
  <si>
    <t>103-05-27~109-05-26</t>
  </si>
  <si>
    <t>龍騰</t>
  </si>
  <si>
    <t>數學B(二)</t>
  </si>
  <si>
    <t>高宏輝</t>
  </si>
  <si>
    <t>01643</t>
  </si>
  <si>
    <t>099-07-02~107-07-31</t>
  </si>
  <si>
    <t>信樺</t>
  </si>
  <si>
    <t>會計學(Ⅱ)</t>
  </si>
  <si>
    <t>105023</t>
  </si>
  <si>
    <t>105-05-12~111-05-11</t>
  </si>
  <si>
    <t>啟芳</t>
  </si>
  <si>
    <t>會計學(Ⅲ)</t>
  </si>
  <si>
    <t>林若娟.等</t>
  </si>
  <si>
    <t>02547</t>
  </si>
  <si>
    <t>103-07-14~109-07-13</t>
  </si>
  <si>
    <t>商業概論(Ⅱ)</t>
  </si>
  <si>
    <t>徐玉霞.等</t>
  </si>
  <si>
    <t>104138</t>
  </si>
  <si>
    <t>104-08-24~110-08-23</t>
  </si>
  <si>
    <t>台科大</t>
  </si>
  <si>
    <t>管理學概要(Ⅱ)</t>
  </si>
  <si>
    <t>練惠琪</t>
  </si>
  <si>
    <t>免審</t>
  </si>
  <si>
    <t>國際貿易實務(Ⅲ)</t>
  </si>
  <si>
    <t>王令玲</t>
  </si>
  <si>
    <t>旗立</t>
  </si>
  <si>
    <t>計算機概論(Ⅱ)</t>
  </si>
  <si>
    <t>施威銘.等</t>
  </si>
  <si>
    <t>02425</t>
  </si>
  <si>
    <t>103-01-14~109-01-13</t>
  </si>
  <si>
    <t>基本設計(Ⅱ)</t>
  </si>
  <si>
    <t>李銘龍.陳美燕.等</t>
  </si>
  <si>
    <t>104149</t>
  </si>
  <si>
    <t>104-09-21~110-09-20</t>
  </si>
  <si>
    <t>099-04-01~108-07-31</t>
  </si>
  <si>
    <t>二</t>
  </si>
  <si>
    <t>歷史(四)</t>
  </si>
  <si>
    <t>古偉瀛等</t>
  </si>
  <si>
    <t>0902</t>
  </si>
  <si>
    <t>102-11-28~108-11-27</t>
  </si>
  <si>
    <t>高中地理(四)</t>
  </si>
  <si>
    <t>陳國川.等</t>
  </si>
  <si>
    <t>0720</t>
  </si>
  <si>
    <t>100-08-12~109-07-31</t>
  </si>
  <si>
    <t>公民與社會(四)</t>
  </si>
  <si>
    <t>林有土</t>
  </si>
  <si>
    <t>0721</t>
  </si>
  <si>
    <t>100-08-17~109-07-31</t>
  </si>
  <si>
    <t>高職國文(四)</t>
  </si>
  <si>
    <t>02087</t>
  </si>
  <si>
    <t>100-09-22~108-07-31</t>
  </si>
  <si>
    <t>高中英文(五)</t>
  </si>
  <si>
    <t>104008</t>
  </si>
  <si>
    <t>104-12-22~110-12-21</t>
  </si>
  <si>
    <t>高職英文(四)</t>
  </si>
  <si>
    <t>104095</t>
  </si>
  <si>
    <t>104-05-26~110-05-25</t>
  </si>
  <si>
    <t>高中數學(四)</t>
  </si>
  <si>
    <t>0703</t>
  </si>
  <si>
    <t>100-05-23~107-05-22</t>
  </si>
  <si>
    <t>泰宇</t>
  </si>
  <si>
    <t>基礎化學(三)</t>
  </si>
  <si>
    <t>陳竹亭.等</t>
  </si>
  <si>
    <t>0676</t>
  </si>
  <si>
    <t>100-04-12~109-07-31</t>
  </si>
  <si>
    <t>基礎物理(二)B(下)</t>
  </si>
  <si>
    <t>傅昭銘.等</t>
  </si>
  <si>
    <t>0717</t>
  </si>
  <si>
    <t>100-07-18~107-07-17</t>
  </si>
  <si>
    <t>選修生物(上)</t>
  </si>
  <si>
    <t>李家維</t>
  </si>
  <si>
    <t>0776</t>
  </si>
  <si>
    <t>101-03-14~110-07-31</t>
  </si>
  <si>
    <t>數學B(四)</t>
  </si>
  <si>
    <t>姚敏庭.等</t>
  </si>
  <si>
    <t>02174</t>
  </si>
  <si>
    <t>100-12-19~108-07-31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</si>
  <si>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</si>
  <si>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</si>
  <si>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</si>
  <si>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</si>
  <si>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</si>
  <si>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</si>
  <si>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</si>
  <si>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</si>
  <si>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104-08-26~110-08-25</t>
  </si>
  <si>
    <t>計算機概論(Ⅳ)</t>
  </si>
  <si>
    <t>02335</t>
  </si>
  <si>
    <t>102-05-23~109-07-31</t>
  </si>
  <si>
    <t>體育(Ⅳ)</t>
  </si>
  <si>
    <t>宋洪經.等</t>
  </si>
  <si>
    <t>02201</t>
  </si>
  <si>
    <t>101-02-04~108-07-31</t>
  </si>
  <si>
    <t>幼獅</t>
  </si>
  <si>
    <t>當代軍事科技(全)</t>
  </si>
  <si>
    <t>幼獅編輯部</t>
  </si>
  <si>
    <t>三</t>
  </si>
  <si>
    <t>選修歷史(下)</t>
  </si>
  <si>
    <t>古偉瀛.王世宗.等</t>
  </si>
  <si>
    <t>103002</t>
  </si>
  <si>
    <t>103-09-16~109-09-15</t>
  </si>
  <si>
    <t>應用地理(下)</t>
  </si>
  <si>
    <t>0843</t>
  </si>
  <si>
    <t>101-09-13~110-07-31</t>
  </si>
  <si>
    <t>公民與社會選修(下)</t>
  </si>
  <si>
    <t>劉義周.等</t>
  </si>
  <si>
    <t>0837</t>
  </si>
  <si>
    <t>101-09-05~107-09-04</t>
  </si>
  <si>
    <t>高職英文(六)</t>
  </si>
  <si>
    <t>105027</t>
  </si>
  <si>
    <t>105-07-18~111-07-17</t>
  </si>
  <si>
    <t>選修數學(甲)(下)</t>
  </si>
  <si>
    <t>單維彰.鄭惟厚.等</t>
  </si>
  <si>
    <t>104009</t>
  </si>
  <si>
    <t>選修數學(乙)(下)</t>
  </si>
  <si>
    <t>0830</t>
  </si>
  <si>
    <t>101-08-14~107-08-13</t>
  </si>
  <si>
    <t>選修物理(下)</t>
  </si>
  <si>
    <t>高涌泉.等</t>
  </si>
  <si>
    <t>0824</t>
  </si>
  <si>
    <t>101-02-22~107-02-23</t>
  </si>
  <si>
    <t>選修化學(下)</t>
  </si>
  <si>
    <t>0858</t>
  </si>
  <si>
    <t>101-11-06~110-07-31</t>
  </si>
  <si>
    <t>體育(Ⅵ)</t>
  </si>
  <si>
    <t>楊志顯</t>
  </si>
  <si>
    <t>02294</t>
  </si>
  <si>
    <t>101-11-21~107-11-20</t>
  </si>
  <si>
    <t>翔宇</t>
  </si>
  <si>
    <t>戰爭與危機的啟示(全)</t>
  </si>
  <si>
    <t>林文榮.等</t>
  </si>
  <si>
    <t>英文B(六課版)(Ⅱ)</t>
  </si>
  <si>
    <t>曾麗玲</t>
  </si>
  <si>
    <t>105038</t>
  </si>
  <si>
    <t>105-11-15~111-11-14</t>
  </si>
  <si>
    <t>高職數學B(陳版)(Ⅱ)</t>
  </si>
  <si>
    <t>陳秋錦</t>
  </si>
  <si>
    <t>01651</t>
  </si>
  <si>
    <t>099-07-14~107-07-31</t>
  </si>
  <si>
    <t>蔡柳卿.等</t>
  </si>
  <si>
    <t>02536</t>
  </si>
  <si>
    <t>103-06-30~109-06-29</t>
  </si>
  <si>
    <t>高職歷史B(全)</t>
  </si>
  <si>
    <t>陳鴻圖</t>
  </si>
  <si>
    <t>01337</t>
  </si>
  <si>
    <t>099-01-05~107-07-31</t>
  </si>
  <si>
    <t>郭鐘隆</t>
  </si>
  <si>
    <t>0484</t>
  </si>
  <si>
    <t>098-10-07~108-07-31</t>
  </si>
  <si>
    <t>國際貿易實務(Ⅱ)</t>
  </si>
  <si>
    <t>何寄澎</t>
  </si>
  <si>
    <t>02049</t>
  </si>
  <si>
    <t>100-08-05~108-07-31</t>
  </si>
  <si>
    <t>高職英文(B版)(Ⅳ)</t>
  </si>
  <si>
    <t>黃玟君</t>
  </si>
  <si>
    <t>104162</t>
  </si>
  <si>
    <t>104-10-27~110-10-26</t>
  </si>
  <si>
    <t>數學B(Ⅳ)</t>
  </si>
  <si>
    <t>02099</t>
  </si>
  <si>
    <t>100-09-30~108-07-31</t>
  </si>
  <si>
    <t>會計學(Ⅳ)</t>
  </si>
  <si>
    <t>李芳傑</t>
  </si>
  <si>
    <t>104119</t>
  </si>
  <si>
    <t>104-07-13~110-07-12</t>
  </si>
  <si>
    <t>高翠玲</t>
  </si>
  <si>
    <t>104151</t>
  </si>
  <si>
    <t>104-09-22~110-09-21</t>
  </si>
  <si>
    <t>健康情感管理(全)</t>
  </si>
  <si>
    <t>張芬蘭</t>
  </si>
  <si>
    <t>國際貿易實務(Ⅳ)</t>
  </si>
  <si>
    <t>高職國文(六)</t>
  </si>
  <si>
    <t>02270</t>
  </si>
  <si>
    <t>101-07-20~109-07-31</t>
  </si>
  <si>
    <t>英文(B版)(Ⅵ)</t>
  </si>
  <si>
    <t>黃玟君.等</t>
  </si>
  <si>
    <t>105034</t>
  </si>
  <si>
    <t>105-10-11~111-10-10</t>
  </si>
  <si>
    <t>進修</t>
  </si>
  <si>
    <t>總計</t>
  </si>
  <si>
    <t>三民 合計</t>
  </si>
  <si>
    <t>台科大 合計</t>
  </si>
  <si>
    <t>幼獅 合計</t>
  </si>
  <si>
    <t>全華 合計</t>
  </si>
  <si>
    <t>育達 合計</t>
  </si>
  <si>
    <t>東大 合計</t>
  </si>
  <si>
    <t>信樺 合計</t>
  </si>
  <si>
    <t>南一 合計</t>
  </si>
  <si>
    <t>泰宇 合計</t>
  </si>
  <si>
    <t>啟芳 合計</t>
  </si>
  <si>
    <t>翔宇 合計</t>
  </si>
  <si>
    <t>華興 合計</t>
  </si>
  <si>
    <t>旗立 合計</t>
  </si>
  <si>
    <t>翰林 合計</t>
  </si>
  <si>
    <t>龍騰 合計</t>
  </si>
  <si>
    <t>(空白)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</si>
  <si>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</si>
  <si>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</si>
  <si>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</si>
  <si>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</si>
  <si>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</si>
  <si>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</si>
  <si>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</si>
  <si>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</si>
  <si>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</si>
  <si>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</si>
  <si>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</si>
  <si>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</si>
  <si>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</si>
  <si>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</si>
  <si>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</si>
  <si>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</si>
  <si>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</si>
  <si>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</si>
  <si>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</si>
  <si>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</si>
  <si>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</si>
  <si>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</si>
  <si>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</si>
  <si>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</si>
  <si>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</si>
  <si>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</si>
  <si>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</si>
  <si>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</si>
  <si>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</si>
  <si>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</si>
  <si>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</si>
  <si>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</si>
  <si>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</si>
  <si>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</si>
  <si>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</si>
  <si>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</si>
  <si>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</si>
  <si>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</si>
  <si>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</si>
  <si>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</si>
  <si>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</si>
  <si>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</si>
  <si>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</si>
  <si>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</si>
  <si>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</si>
  <si>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</si>
  <si>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</si>
  <si>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</si>
  <si>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</si>
  <si>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</si>
  <si>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高三3</t>
  </si>
  <si>
    <t>高三4</t>
  </si>
  <si>
    <t>外三1</t>
  </si>
  <si>
    <t>外三2</t>
  </si>
  <si>
    <t>(進)商一1</t>
  </si>
  <si>
    <t>(進)商一2</t>
  </si>
  <si>
    <t>(進)商一3</t>
  </si>
  <si>
    <t>(進)貿一1</t>
  </si>
  <si>
    <t>(進)備一1</t>
  </si>
  <si>
    <t>(進)備一2</t>
  </si>
  <si>
    <t>(進)商二1</t>
  </si>
  <si>
    <t>(進)商二2</t>
  </si>
  <si>
    <t>(進)商二3</t>
  </si>
  <si>
    <t>(進)商二4</t>
  </si>
  <si>
    <t>(進)貿二1</t>
  </si>
  <si>
    <t>(進)備二1</t>
  </si>
  <si>
    <t>(進)備二2</t>
  </si>
  <si>
    <t>(進)商三1</t>
  </si>
  <si>
    <t>(進)商三2</t>
  </si>
  <si>
    <t>(進)商三3</t>
  </si>
  <si>
    <t>(進)貿三1</t>
  </si>
  <si>
    <t>列標籤</t>
  </si>
  <si>
    <t>加總 - 金額</t>
  </si>
  <si>
    <t>欄標籤</t>
  </si>
  <si>
    <t>廠商簡稱</t>
  </si>
  <si>
    <t>廠商全名</t>
  </si>
  <si>
    <t>採購方式</t>
  </si>
  <si>
    <t>負責人</t>
  </si>
  <si>
    <t>通訊電話</t>
  </si>
  <si>
    <t>傳真電話</t>
  </si>
  <si>
    <t xml:space="preserve"> 通訊地址</t>
  </si>
  <si>
    <t>郵遞區號</t>
  </si>
  <si>
    <t>地址</t>
  </si>
  <si>
    <t>080電話</t>
  </si>
  <si>
    <t>三民圖書股份有限公司</t>
  </si>
  <si>
    <t>招標議價</t>
  </si>
  <si>
    <t>陳小姐</t>
  </si>
  <si>
    <t>02-2500-6600#521</t>
  </si>
  <si>
    <t>02-2506-4000</t>
  </si>
  <si>
    <t>台北市復興北路386號</t>
  </si>
  <si>
    <t>退:桃園縣龜山鄉龜山一路52巷2號</t>
  </si>
  <si>
    <t>五南</t>
  </si>
  <si>
    <t>五南文化事業機構(文字復興)</t>
  </si>
  <si>
    <t>小額採購</t>
  </si>
  <si>
    <t>王小姐</t>
  </si>
  <si>
    <t>02-2705-5066#879</t>
  </si>
  <si>
    <t>02-2701-4570</t>
  </si>
  <si>
    <t>台北市和平東路2段339號4樓</t>
  </si>
  <si>
    <t>退:新北市林口區後湖路52之3號</t>
  </si>
  <si>
    <t>台科大圖書股份有限公司</t>
  </si>
  <si>
    <t>02-2908-6347</t>
  </si>
  <si>
    <t>台北縣新莊市福營路33號</t>
  </si>
  <si>
    <t>幼獅文化事業公司</t>
  </si>
  <si>
    <t>朱小姐</t>
  </si>
  <si>
    <t>02-2311-2832#277</t>
  </si>
  <si>
    <t>02-2311-3309</t>
  </si>
  <si>
    <t>台北市重慶南路1段66之1號3F</t>
  </si>
  <si>
    <t>退:新台市樹林區俊英街111巷21號</t>
  </si>
  <si>
    <t>全華科技圖書股份有限公司</t>
  </si>
  <si>
    <t>簡小姐</t>
  </si>
  <si>
    <t>02-2262-5666#323</t>
  </si>
  <si>
    <t>02-2262-8333</t>
  </si>
  <si>
    <t>新北市土城區忠義路21號</t>
  </si>
  <si>
    <t>退:新北市土城區永豐路201號</t>
  </si>
  <si>
    <t>育達文化事業股份有限公司</t>
  </si>
  <si>
    <t>馮小姐</t>
  </si>
  <si>
    <t>04-2316-0117#203</t>
  </si>
  <si>
    <t>04-2316-6090</t>
  </si>
  <si>
    <t>台中市西屯區惠安巷50號</t>
  </si>
  <si>
    <t>退:台中市西屯區安和路20-13號</t>
  </si>
  <si>
    <t>東大圖書股份有限公司</t>
  </si>
  <si>
    <t>東岳</t>
  </si>
  <si>
    <t>東岳(岱)專業圖書公司</t>
  </si>
  <si>
    <t xml:space="preserve"> </t>
  </si>
  <si>
    <t>02-2955-9499</t>
  </si>
  <si>
    <t>02-2956-5390</t>
  </si>
  <si>
    <t>台北縣板橋市和平路安樂巷6弄12號</t>
  </si>
  <si>
    <t>0800-271228</t>
  </si>
  <si>
    <t>信樺文化事業有限公司</t>
  </si>
  <si>
    <t>04-2436-7677#11</t>
  </si>
  <si>
    <t>04-2436-6477</t>
  </si>
  <si>
    <t>台中市北屯區景賢八路228號</t>
  </si>
  <si>
    <t>退:台中市北屯區景賢南一路50-1號</t>
  </si>
  <si>
    <t>南一書局企業(股)公司</t>
  </si>
  <si>
    <t>黃小姐</t>
  </si>
  <si>
    <t>04-2567-9671</t>
  </si>
  <si>
    <t>04-2567-9623</t>
  </si>
  <si>
    <t>台中縣大雅區神林南路641巷1號2F</t>
  </si>
  <si>
    <t>退:台南市安平工業區新信路22號</t>
  </si>
  <si>
    <t>泰宇出版股份有限公司</t>
  </si>
  <si>
    <t>游小姐</t>
  </si>
  <si>
    <t>02-2984-4865#205</t>
  </si>
  <si>
    <t>02-2986-4034</t>
  </si>
  <si>
    <t>新北市三重區重新路四段53號12樓之1</t>
  </si>
  <si>
    <t>退:新北市林口區中湖路39-2號</t>
  </si>
  <si>
    <t>0800-060559</t>
  </si>
  <si>
    <t>啟芳出版社有限公司</t>
  </si>
  <si>
    <t>02-2363-5588</t>
  </si>
  <si>
    <t>台北市羅斯福路3段283巷21弄15號</t>
  </si>
  <si>
    <t>退:新北市深坑區北深路3段155巷27號7樓</t>
  </si>
  <si>
    <t>0800-025858</t>
  </si>
  <si>
    <t>康熹</t>
  </si>
  <si>
    <t>康熹圖書網路(股)公司</t>
  </si>
  <si>
    <t>02-2299-9006</t>
  </si>
  <si>
    <t>02-2299-9110</t>
  </si>
  <si>
    <t>新北市五股區五工六路30號</t>
  </si>
  <si>
    <t>智業</t>
  </si>
  <si>
    <t>智業文化事業有限公司</t>
  </si>
  <si>
    <t>華立</t>
  </si>
  <si>
    <t>華立圖書股份有限公司(松根)</t>
  </si>
  <si>
    <t>02-2221-7375</t>
  </si>
  <si>
    <t>02-2221-7385</t>
  </si>
  <si>
    <t>台北市龍江路76巷20-7號4F</t>
  </si>
  <si>
    <t>退:台北縣中和市立德街210巷3號</t>
  </si>
  <si>
    <t>華興書局(雙日)</t>
  </si>
  <si>
    <t>吳小姐</t>
  </si>
  <si>
    <t>02-2363-2372</t>
  </si>
  <si>
    <t>02-2363-2422</t>
  </si>
  <si>
    <t>台北市和平東路1段182號9F</t>
  </si>
  <si>
    <t>退:新北市新店區寶橋路235巷1弄4號7F</t>
  </si>
  <si>
    <t>滄海</t>
  </si>
  <si>
    <t>滄海書局</t>
  </si>
  <si>
    <t>04-2708-8787</t>
  </si>
  <si>
    <t>0800-261187</t>
  </si>
  <si>
    <t>碁峰</t>
  </si>
  <si>
    <t>碁峰資訊股份有限公司</t>
  </si>
  <si>
    <t>04-2452-7051</t>
  </si>
  <si>
    <t>04-2452-9053</t>
  </si>
  <si>
    <t>台中市和南路二段262號8F之7</t>
  </si>
  <si>
    <t>旗立資訊股份有限公司</t>
  </si>
  <si>
    <t>02-2322-4846#2</t>
  </si>
  <si>
    <t>02-2322-4852</t>
  </si>
  <si>
    <t>台北市忠孝東路1段83號B1</t>
  </si>
  <si>
    <t>退:新北市三重區光復路一段68巷24弄3號2樓</t>
  </si>
  <si>
    <t>遠東</t>
  </si>
  <si>
    <t>遠東圖書股份有限公司</t>
  </si>
  <si>
    <t>林小姐</t>
  </si>
  <si>
    <t>02-2311-8740#868</t>
  </si>
  <si>
    <t>02-2311-4184</t>
  </si>
  <si>
    <t>台北市重慶南路1段66之1號8F</t>
  </si>
  <si>
    <t>退:新北市新莊區鳳山街56巷3號</t>
  </si>
  <si>
    <t>0800-072128</t>
  </si>
  <si>
    <t>廣懋</t>
  </si>
  <si>
    <t>廣懋圖書出版社</t>
  </si>
  <si>
    <t>04-2242-0075</t>
  </si>
  <si>
    <t>04-2242-3869</t>
  </si>
  <si>
    <t>台中市北屯區熱河路3段121號</t>
  </si>
  <si>
    <t>退:台中市北屯區環中路886巷8-1號</t>
  </si>
  <si>
    <t>0800-000312</t>
  </si>
  <si>
    <t>翰林出版事業股份有限公司</t>
  </si>
  <si>
    <t>台南市新樂路76號</t>
  </si>
  <si>
    <t>退:台南市南區新忠路8-1號</t>
  </si>
  <si>
    <t>龍騰文化事業股份有限公司</t>
  </si>
  <si>
    <t>李小姐</t>
  </si>
  <si>
    <t>02-2298-2933#209</t>
  </si>
  <si>
    <t>02-2298-9766</t>
  </si>
  <si>
    <t>台中市環河路86號</t>
  </si>
  <si>
    <t>退:新北市五股區五權七路1號</t>
  </si>
  <si>
    <t>0800-281284</t>
  </si>
  <si>
    <t>漢樺</t>
  </si>
  <si>
    <t>漢樺文化事業有限公司</t>
  </si>
  <si>
    <t>翔宇文化事業股份有限公司</t>
  </si>
  <si>
    <t>新北市三重區重新路四段53號12樓</t>
  </si>
  <si>
    <t>廠商全名</t>
    <phoneticPr fontId="3" type="noConversion"/>
  </si>
  <si>
    <t>廠商簡稱</t>
    <phoneticPr fontId="3" type="noConversion"/>
  </si>
  <si>
    <t>採購方式</t>
    <phoneticPr fontId="3" type="noConversion"/>
  </si>
  <si>
    <t>項次</t>
    <phoneticPr fontId="3" type="noConversion"/>
  </si>
  <si>
    <t>合計</t>
    <phoneticPr fontId="3" type="noConversion"/>
  </si>
  <si>
    <t>訂購金額</t>
    <phoneticPr fontId="3" type="noConversion"/>
  </si>
  <si>
    <t>備註</t>
    <phoneticPr fontId="3" type="noConversion"/>
  </si>
  <si>
    <t>進修部</t>
    <phoneticPr fontId="3" type="noConversion"/>
  </si>
  <si>
    <t>金額合計</t>
    <phoneticPr fontId="3" type="noConversion"/>
  </si>
  <si>
    <t>國立彰化高商106學年度第二學期教科書採購作業訂購金額統計表</t>
    <phoneticPr fontId="3" type="noConversion"/>
  </si>
  <si>
    <t>年級</t>
    <phoneticPr fontId="3" type="noConversion"/>
  </si>
  <si>
    <t>總計
數量</t>
    <phoneticPr fontId="3" type="noConversion"/>
  </si>
  <si>
    <t>總計
金額</t>
    <phoneticPr fontId="3" type="noConversion"/>
  </si>
  <si>
    <t>李銘龍.等</t>
    <phoneticPr fontId="3" type="noConversion"/>
  </si>
  <si>
    <t>陳文欽.等</t>
    <phoneticPr fontId="3" type="noConversion"/>
  </si>
  <si>
    <t>電腦IFRS實力養成評量(TQC)(全)</t>
    <phoneticPr fontId="3" type="noConversion"/>
  </si>
  <si>
    <t>財團法人中華
民國電腦技能
基金會</t>
    <phoneticPr fontId="3" type="noConversion"/>
  </si>
  <si>
    <t>單維彰.等</t>
    <phoneticPr fontId="3" type="noConversion"/>
  </si>
  <si>
    <t>古偉瀛.等</t>
    <phoneticPr fontId="3" type="noConversion"/>
  </si>
  <si>
    <t>備註</t>
    <phoneticPr fontId="3" type="noConversion"/>
  </si>
  <si>
    <t>國立彰化高商106學年度第二學期教科書採購作業_各班訂購數量統計表(日校一年級)</t>
    <phoneticPr fontId="3" type="noConversion"/>
  </si>
  <si>
    <t>國立彰化高商106學年度第二學期教科書採購作業_各班訂購數量統計表(日校二年級)</t>
    <phoneticPr fontId="3" type="noConversion"/>
  </si>
  <si>
    <t>國立彰化高商106學年度第二學期教科書採購作業_各班訂購數量統計表(日校三年級)</t>
    <phoneticPr fontId="3" type="noConversion"/>
  </si>
  <si>
    <t>國立彰化高商106學年度第二學期教科書採購作業_各班訂購數量統計表(進修部一年級)</t>
    <phoneticPr fontId="3" type="noConversion"/>
  </si>
  <si>
    <t>國立彰化高商106學年度第二學期教科書採購作業_各班訂購數量統計表(進修部二年級)</t>
    <phoneticPr fontId="3" type="noConversion"/>
  </si>
  <si>
    <t>國立彰化高商106學年度第二學期教科書採購作業_各班訂購數量統計表(進修部三年級)</t>
    <phoneticPr fontId="3" type="noConversion"/>
  </si>
  <si>
    <t>小計</t>
    <phoneticPr fontId="3" type="noConversion"/>
  </si>
  <si>
    <t>日校小計</t>
    <phoneticPr fontId="3" type="noConversion"/>
  </si>
  <si>
    <t>進修部小計</t>
    <phoneticPr fontId="3" type="noConversion"/>
  </si>
  <si>
    <t>全校總計</t>
    <phoneticPr fontId="3" type="noConversion"/>
  </si>
  <si>
    <t>商1</t>
  </si>
  <si>
    <t>商2</t>
  </si>
  <si>
    <t>商3</t>
  </si>
  <si>
    <t>商4</t>
  </si>
  <si>
    <t>貿1</t>
  </si>
  <si>
    <t>數量</t>
  </si>
  <si>
    <t>加總 人數</t>
  </si>
  <si>
    <t>國立彰化高商106學年度第二學期教科書採購作業_各班訂購數量統計表</t>
    <phoneticPr fontId="3" type="noConversion"/>
  </si>
  <si>
    <t>總數量</t>
  </si>
  <si>
    <t>請選擇</t>
    <phoneticPr fontId="3" type="noConversion"/>
  </si>
  <si>
    <t>部別</t>
    <phoneticPr fontId="3" type="noConversion"/>
  </si>
  <si>
    <t>年級</t>
    <phoneticPr fontId="3" type="noConversion"/>
  </si>
  <si>
    <t>書商</t>
    <phoneticPr fontId="3" type="noConversion"/>
  </si>
  <si>
    <t>陳文欽.等</t>
  </si>
  <si>
    <t>陳文欽.等</t>
    <phoneticPr fontId="3" type="noConversion"/>
  </si>
  <si>
    <t>總計金額</t>
  </si>
  <si>
    <t>綜合高中</t>
  </si>
  <si>
    <t>1.2.3.4</t>
  </si>
  <si>
    <t>商經科</t>
  </si>
  <si>
    <t>國貿科</t>
  </si>
  <si>
    <t>資處科</t>
  </si>
  <si>
    <t>1.2</t>
  </si>
  <si>
    <t>廣告科</t>
  </si>
  <si>
    <t>外語科</t>
  </si>
  <si>
    <t>3.4</t>
  </si>
  <si>
    <t>(進)商經科</t>
  </si>
  <si>
    <t>1.2.3</t>
  </si>
  <si>
    <t>(進)國貿科</t>
  </si>
  <si>
    <t>1</t>
  </si>
  <si>
    <t>(進)備用書</t>
  </si>
  <si>
    <t>2</t>
  </si>
  <si>
    <t>科別</t>
  </si>
  <si>
    <t>備註</t>
  </si>
  <si>
    <t>國立彰化高商106學年度第二學期教科書採購作業_訂購書單</t>
    <phoneticPr fontId="3" type="noConversion"/>
  </si>
  <si>
    <t>數量</t>
    <phoneticPr fontId="3" type="noConversion"/>
  </si>
  <si>
    <t>金額小計</t>
    <phoneticPr fontId="3" type="noConversion"/>
  </si>
  <si>
    <t>泰宇</t>
    <phoneticPr fontId="3" type="noConversion"/>
  </si>
  <si>
    <t>合計：</t>
    <phoneticPr fontId="3" type="noConversion"/>
  </si>
  <si>
    <t>國立彰化高商106學年度第二學期教科書採購作業_書商訂購書單</t>
    <phoneticPr fontId="3" type="noConversion"/>
  </si>
  <si>
    <t>單價</t>
    <phoneticPr fontId="3" type="noConversion"/>
  </si>
  <si>
    <t>單價</t>
  </si>
  <si>
    <t>數值</t>
  </si>
  <si>
    <t>單價</t>
    <phoneticPr fontId="3" type="noConversion"/>
  </si>
  <si>
    <t>單價</t>
    <phoneticPr fontId="3" type="noConversion"/>
  </si>
  <si>
    <t>高1</t>
  </si>
  <si>
    <t>高2</t>
  </si>
  <si>
    <t>高3</t>
  </si>
  <si>
    <t>高4</t>
  </si>
  <si>
    <t>貿2</t>
  </si>
  <si>
    <t>貿3</t>
  </si>
  <si>
    <t>貿4</t>
  </si>
  <si>
    <t>資1</t>
  </si>
  <si>
    <t>資2</t>
  </si>
  <si>
    <t>廣1</t>
  </si>
  <si>
    <t>廣2</t>
  </si>
  <si>
    <t>外1</t>
  </si>
  <si>
    <t>外2</t>
  </si>
  <si>
    <t>張群英</t>
  </si>
  <si>
    <t>02-2908-5945#651</t>
  </si>
  <si>
    <t>02-2363-9422#105</t>
  </si>
  <si>
    <t>(蕭)06-2631188#264</t>
  </si>
  <si>
    <t>(黃)04-24732018#205</t>
  </si>
  <si>
    <t>04-24734074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</si>
</sst>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6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color theme="1"/>
      <name val="微軟正黑體"/>
      <family val="2"/>
      <charset val="136"/>
    </font>
    <font>
      <b/>
      <sz val="12"/>
      <color theme="0"/>
      <name val="新細明體"/>
      <family val="1"/>
      <charset val="136"/>
    </font>
    <font>
      <sz val="18"/>
      <color theme="3"/>
      <name val="微軟正黑體"/>
      <family val="2"/>
      <charset val="136"/>
    </font>
    <font>
      <sz val="16"/>
      <color rgb="FF002060"/>
      <name val="微軟正黑體"/>
      <family val="2"/>
      <charset val="136"/>
    </font>
    <font>
      <b/>
      <sz val="12"/>
      <color rgb="FFFFFF00"/>
      <name val="微軟正黑體"/>
      <family val="2"/>
      <charset val="136"/>
    </font>
    <font>
      <sz val="10"/>
      <color theme="1"/>
      <name val="Consolas"/>
      <family val="3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2"/>
      <color theme="5" tint="-0.249977111117893"/>
      <name val="微軟正黑體"/>
      <family val="2"/>
      <charset val="136"/>
    </font>
    <font>
      <sz val="14"/>
      <color indexed="8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0"/>
      <color indexed="8"/>
      <name val="微軟正黑體"/>
      <family val="2"/>
      <charset val="136"/>
    </font>
    <font>
      <sz val="10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FFFF00"/>
      <name val="微軟正黑體"/>
      <family val="2"/>
      <charset val="136"/>
    </font>
    <font>
      <sz val="14"/>
      <color indexed="8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11"/>
      <color indexed="8"/>
      <name val="新細明體"/>
      <family val="1"/>
      <charset val="136"/>
    </font>
    <font>
      <sz val="12"/>
      <color rgb="FFC00000"/>
      <name val="新細明體"/>
      <family val="1"/>
      <charset val="136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ck">
        <color rgb="FFC00000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1" fillId="0" borderId="0">
      <alignment vertical="center"/>
    </xf>
  </cellStyleXfs>
  <cellXfs count="1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vertical="center" shrinkToFit="1"/>
    </xf>
    <xf numFmtId="0" fontId="0" fillId="0" borderId="0" xfId="0" applyAlignment="1">
      <alignment horizontal="centerContinuous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3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Continuous" vertical="center"/>
    </xf>
    <xf numFmtId="0" fontId="0" fillId="0" borderId="0" xfId="0" applyAlignment="1">
      <alignment horizontal="left" vertical="center"/>
    </xf>
    <xf numFmtId="0" fontId="6" fillId="3" borderId="0" xfId="1" applyFont="1" applyFill="1" applyAlignment="1">
      <alignment horizontal="center"/>
    </xf>
    <xf numFmtId="0" fontId="4" fillId="0" borderId="0" xfId="1"/>
    <xf numFmtId="0" fontId="4" fillId="0" borderId="0" xfId="1" applyAlignment="1"/>
    <xf numFmtId="3" fontId="5" fillId="2" borderId="1" xfId="0" applyNumberFormat="1" applyFont="1" applyFill="1" applyBorder="1">
      <alignment vertical="center"/>
    </xf>
    <xf numFmtId="0" fontId="2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top"/>
    </xf>
    <xf numFmtId="0" fontId="9" fillId="7" borderId="0" xfId="1" applyFont="1" applyFill="1" applyAlignment="1">
      <alignment horizontal="center"/>
    </xf>
    <xf numFmtId="0" fontId="10" fillId="0" borderId="0" xfId="2" applyFont="1" applyAlignment="1">
      <alignment vertical="top" wrapText="1"/>
    </xf>
    <xf numFmtId="0" fontId="4" fillId="0" borderId="0" xfId="1" applyAlignment="1">
      <alignment horizontal="center"/>
    </xf>
    <xf numFmtId="0" fontId="4" fillId="0" borderId="0" xfId="1" quotePrefix="1"/>
    <xf numFmtId="0" fontId="11" fillId="0" borderId="1" xfId="0" applyFont="1" applyBorder="1" applyAlignment="1">
      <alignment horizontal="center" shrinkToFit="1"/>
    </xf>
    <xf numFmtId="0" fontId="11" fillId="8" borderId="1" xfId="0" applyFont="1" applyFill="1" applyBorder="1" applyAlignment="1">
      <alignment horizontal="center" textRotation="255" shrinkToFit="1"/>
    </xf>
    <xf numFmtId="0" fontId="11" fillId="10" borderId="1" xfId="0" applyFont="1" applyFill="1" applyBorder="1" applyAlignment="1">
      <alignment horizontal="center" textRotation="255" shrinkToFit="1"/>
    </xf>
    <xf numFmtId="0" fontId="11" fillId="9" borderId="1" xfId="0" applyFont="1" applyFill="1" applyBorder="1" applyAlignment="1">
      <alignment horizontal="center" textRotation="255" shrinkToFit="1"/>
    </xf>
    <xf numFmtId="0" fontId="11" fillId="4" borderId="1" xfId="0" applyFont="1" applyFill="1" applyBorder="1" applyAlignment="1">
      <alignment horizontal="center" textRotation="255" shrinkToFit="1"/>
    </xf>
    <xf numFmtId="0" fontId="11" fillId="6" borderId="1" xfId="0" applyFont="1" applyFill="1" applyBorder="1" applyAlignment="1">
      <alignment horizontal="center" textRotation="255" shrinkToFit="1"/>
    </xf>
    <xf numFmtId="0" fontId="11" fillId="5" borderId="1" xfId="0" applyFont="1" applyFill="1" applyBorder="1" applyAlignment="1">
      <alignment horizontal="center" textRotation="255" shrinkToFit="1"/>
    </xf>
    <xf numFmtId="3" fontId="11" fillId="0" borderId="1" xfId="0" applyNumberFormat="1" applyFont="1" applyBorder="1" applyAlignment="1">
      <alignment horizontal="center" wrapText="1"/>
    </xf>
    <xf numFmtId="3" fontId="11" fillId="0" borderId="1" xfId="0" applyNumberFormat="1" applyFont="1" applyBorder="1" applyAlignment="1">
      <alignment horizontal="right" wrapText="1"/>
    </xf>
    <xf numFmtId="0" fontId="11" fillId="0" borderId="1" xfId="0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1" fillId="0" borderId="1" xfId="0" applyFont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3" fontId="11" fillId="0" borderId="1" xfId="0" applyNumberFormat="1" applyFont="1" applyBorder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3" fontId="11" fillId="0" borderId="0" xfId="0" applyNumberFormat="1" applyFont="1">
      <alignment vertical="center"/>
    </xf>
    <xf numFmtId="0" fontId="11" fillId="0" borderId="1" xfId="0" applyFont="1" applyFill="1" applyBorder="1" applyAlignment="1">
      <alignment horizontal="center" textRotation="255" shrinkToFit="1"/>
    </xf>
    <xf numFmtId="0" fontId="11" fillId="0" borderId="1" xfId="0" applyFont="1" applyBorder="1" applyAlignment="1">
      <alignment horizontal="center" textRotation="255" shrinkToFit="1"/>
    </xf>
    <xf numFmtId="0" fontId="12" fillId="0" borderId="1" xfId="0" applyFont="1" applyBorder="1" applyAlignment="1">
      <alignment vertical="center" wrapText="1" shrinkToFit="1"/>
    </xf>
    <xf numFmtId="3" fontId="2" fillId="0" borderId="0" xfId="0" applyNumberFormat="1" applyFont="1" applyAlignment="1">
      <alignment horizontal="centerContinuous" vertical="center"/>
    </xf>
    <xf numFmtId="0" fontId="11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9" fillId="7" borderId="0" xfId="2" applyNumberFormat="1" applyFont="1" applyFill="1" applyBorder="1" applyAlignment="1" applyProtection="1">
      <alignment horizontal="center"/>
    </xf>
    <xf numFmtId="0" fontId="14" fillId="0" borderId="0" xfId="1" quotePrefix="1" applyFont="1" applyAlignment="1">
      <alignment vertic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 vertical="center"/>
    </xf>
    <xf numFmtId="0" fontId="16" fillId="0" borderId="1" xfId="1" applyFont="1" applyBorder="1" applyAlignment="1">
      <alignment vertical="center" shrinkToFit="1"/>
    </xf>
    <xf numFmtId="0" fontId="16" fillId="0" borderId="1" xfId="1" applyFont="1" applyBorder="1" applyAlignment="1">
      <alignment horizontal="center" vertical="center" shrinkToFit="1"/>
    </xf>
    <xf numFmtId="0" fontId="14" fillId="0" borderId="0" xfId="1" applyFont="1" applyAlignment="1">
      <alignment horizontal="center" vertical="center"/>
    </xf>
    <xf numFmtId="0" fontId="17" fillId="0" borderId="2" xfId="0" applyFont="1" applyFill="1" applyBorder="1">
      <alignment vertical="center"/>
    </xf>
    <xf numFmtId="0" fontId="17" fillId="0" borderId="2" xfId="0" applyFont="1" applyFill="1" applyBorder="1" applyAlignment="1">
      <alignment vertical="center" textRotation="255"/>
    </xf>
    <xf numFmtId="0" fontId="17" fillId="0" borderId="2" xfId="0" applyFont="1" applyFill="1" applyBorder="1" applyAlignment="1">
      <alignment vertical="center" shrinkToFit="1"/>
    </xf>
    <xf numFmtId="0" fontId="17" fillId="0" borderId="2" xfId="0" applyFont="1" applyFill="1" applyBorder="1" applyAlignment="1">
      <alignment shrinkToFit="1"/>
    </xf>
    <xf numFmtId="0" fontId="17" fillId="0" borderId="2" xfId="0" applyFont="1" applyFill="1" applyBorder="1" applyAlignment="1">
      <alignment textRotation="255" shrinkToFit="1"/>
    </xf>
    <xf numFmtId="0" fontId="17" fillId="0" borderId="2" xfId="0" applyFont="1" applyFill="1" applyBorder="1" applyAlignment="1">
      <alignment vertical="center" textRotation="255" shrinkToFit="1"/>
    </xf>
    <xf numFmtId="0" fontId="17" fillId="0" borderId="2" xfId="0" applyNumberFormat="1" applyFont="1" applyFill="1" applyBorder="1" applyAlignment="1">
      <alignment vertical="center" shrinkToFit="1"/>
    </xf>
    <xf numFmtId="0" fontId="15" fillId="0" borderId="3" xfId="1" quotePrefix="1" applyFont="1" applyBorder="1" applyAlignment="1">
      <alignment horizontal="centerContinuous" vertical="center"/>
    </xf>
    <xf numFmtId="0" fontId="16" fillId="0" borderId="0" xfId="1" applyFont="1" applyAlignment="1">
      <alignment vertical="center" shrinkToFit="1"/>
    </xf>
    <xf numFmtId="0" fontId="16" fillId="0" borderId="0" xfId="1" applyFont="1" applyAlignment="1">
      <alignment textRotation="255" shrinkToFit="1"/>
    </xf>
    <xf numFmtId="0" fontId="15" fillId="0" borderId="0" xfId="1" quotePrefix="1" applyFont="1" applyBorder="1" applyAlignment="1">
      <alignment horizontal="centerContinuous" vertical="center"/>
    </xf>
    <xf numFmtId="0" fontId="19" fillId="11" borderId="0" xfId="1" applyFont="1" applyFill="1" applyAlignment="1">
      <alignment vertical="center"/>
    </xf>
    <xf numFmtId="0" fontId="14" fillId="0" borderId="0" xfId="1" applyFont="1" applyAlignment="1">
      <alignment horizontal="centerContinuous" vertical="center"/>
    </xf>
    <xf numFmtId="0" fontId="20" fillId="0" borderId="0" xfId="1" applyFont="1" applyAlignment="1">
      <alignment horizontal="centerContinuous" vertical="center"/>
    </xf>
    <xf numFmtId="0" fontId="20" fillId="0" borderId="0" xfId="1" quotePrefix="1" applyFont="1" applyBorder="1" applyAlignment="1">
      <alignment horizontal="centerContinuous"/>
    </xf>
    <xf numFmtId="0" fontId="16" fillId="12" borderId="1" xfId="1" applyFont="1" applyFill="1" applyBorder="1" applyAlignment="1">
      <alignment textRotation="255" shrinkToFit="1"/>
    </xf>
    <xf numFmtId="0" fontId="21" fillId="0" borderId="0" xfId="1" quotePrefix="1" applyFont="1" applyBorder="1" applyAlignment="1">
      <alignment horizontal="centerContinuous"/>
    </xf>
    <xf numFmtId="0" fontId="21" fillId="0" borderId="0" xfId="1" applyFont="1" applyAlignment="1">
      <alignment horizontal="centerContinuous" vertical="center"/>
    </xf>
    <xf numFmtId="0" fontId="22" fillId="0" borderId="0" xfId="1" applyFont="1" applyAlignment="1">
      <alignment horizontal="centerContinuous"/>
    </xf>
    <xf numFmtId="0" fontId="22" fillId="0" borderId="0" xfId="1" applyFont="1" applyAlignment="1">
      <alignment horizontal="centerContinuous" vertical="center"/>
    </xf>
    <xf numFmtId="0" fontId="11" fillId="13" borderId="1" xfId="0" applyFont="1" applyFill="1" applyBorder="1" applyAlignment="1">
      <alignment horizontal="center" shrinkToFit="1"/>
    </xf>
    <xf numFmtId="0" fontId="11" fillId="13" borderId="1" xfId="0" applyFont="1" applyFill="1" applyBorder="1" applyAlignment="1">
      <alignment horizontal="center" textRotation="255" shrinkToFit="1"/>
    </xf>
    <xf numFmtId="0" fontId="11" fillId="13" borderId="1" xfId="0" applyFont="1" applyFill="1" applyBorder="1" applyAlignment="1">
      <alignment horizontal="center" wrapText="1" shrinkToFit="1"/>
    </xf>
    <xf numFmtId="0" fontId="11" fillId="14" borderId="1" xfId="0" applyFont="1" applyFill="1" applyBorder="1" applyAlignment="1">
      <alignment horizontal="center" textRotation="255" shrinkToFit="1"/>
    </xf>
    <xf numFmtId="0" fontId="11" fillId="15" borderId="1" xfId="0" applyFont="1" applyFill="1" applyBorder="1" applyAlignment="1">
      <alignment horizontal="center" textRotation="255" shrinkToFit="1"/>
    </xf>
    <xf numFmtId="0" fontId="16" fillId="0" borderId="4" xfId="1" applyFont="1" applyBorder="1" applyAlignment="1">
      <alignment horizontal="center" vertical="center" shrinkToFit="1"/>
    </xf>
    <xf numFmtId="0" fontId="16" fillId="0" borderId="4" xfId="1" applyFont="1" applyBorder="1" applyAlignment="1">
      <alignment vertical="center" shrinkToFit="1"/>
    </xf>
    <xf numFmtId="0" fontId="16" fillId="0" borderId="0" xfId="1" applyFont="1" applyBorder="1" applyAlignment="1">
      <alignment horizontal="center" vertical="center" shrinkToFit="1"/>
    </xf>
    <xf numFmtId="0" fontId="16" fillId="0" borderId="0" xfId="1" applyFont="1" applyBorder="1" applyAlignment="1">
      <alignment vertical="center" shrinkToFit="1"/>
    </xf>
    <xf numFmtId="0" fontId="0" fillId="0" borderId="0" xfId="0" pivotButton="1" applyFont="1" applyAlignment="1">
      <alignment vertical="center" shrinkToFit="1"/>
    </xf>
    <xf numFmtId="0" fontId="0" fillId="0" borderId="0" xfId="0" applyFont="1" applyAlignment="1">
      <alignment horizontal="right" vertical="center" shrinkToFit="1"/>
    </xf>
    <xf numFmtId="0" fontId="0" fillId="0" borderId="0" xfId="0" applyNumberFormat="1" applyFont="1" applyAlignment="1">
      <alignment vertical="center" shrinkToFit="1"/>
    </xf>
    <xf numFmtId="3" fontId="0" fillId="0" borderId="0" xfId="0" applyNumberFormat="1" applyFont="1" applyAlignment="1">
      <alignment vertical="center" shrinkToFit="1"/>
    </xf>
    <xf numFmtId="0" fontId="18" fillId="13" borderId="5" xfId="1" quotePrefix="1" applyFont="1" applyFill="1" applyBorder="1" applyAlignment="1">
      <alignment horizontal="center" vertical="center"/>
    </xf>
    <xf numFmtId="0" fontId="18" fillId="0" borderId="6" xfId="1" quotePrefix="1" applyFont="1" applyBorder="1" applyAlignment="1">
      <alignment horizontal="center" vertical="center"/>
    </xf>
    <xf numFmtId="0" fontId="23" fillId="0" borderId="6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shrinkToFit="1"/>
    </xf>
    <xf numFmtId="3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right"/>
    </xf>
    <xf numFmtId="3" fontId="0" fillId="0" borderId="1" xfId="0" applyNumberForma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0" xfId="0" applyAlignment="1">
      <alignment horizontal="centerContinuous" vertical="center" shrinkToFit="1"/>
    </xf>
    <xf numFmtId="0" fontId="0" fillId="2" borderId="1" xfId="0" applyFill="1" applyBorder="1" applyAlignment="1">
      <alignment horizontal="center" vertical="center" shrinkToFit="1"/>
    </xf>
    <xf numFmtId="3" fontId="0" fillId="2" borderId="1" xfId="0" applyNumberFormat="1" applyFill="1" applyBorder="1" applyAlignment="1">
      <alignment horizontal="right" vertical="center"/>
    </xf>
    <xf numFmtId="0" fontId="0" fillId="0" borderId="10" xfId="0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0" borderId="4" xfId="0" applyBorder="1">
      <alignment vertical="center"/>
    </xf>
    <xf numFmtId="3" fontId="0" fillId="0" borderId="4" xfId="0" applyNumberFormat="1" applyBorder="1">
      <alignment vertical="center"/>
    </xf>
    <xf numFmtId="3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3" xfId="0" applyBorder="1" applyAlignment="1">
      <alignment vertical="center" shrinkToFi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0" fillId="0" borderId="3" xfId="0" applyBorder="1">
      <alignment vertical="center"/>
    </xf>
    <xf numFmtId="3" fontId="0" fillId="0" borderId="3" xfId="0" applyNumberFormat="1" applyBorder="1">
      <alignment vertical="center"/>
    </xf>
    <xf numFmtId="3" fontId="0" fillId="0" borderId="13" xfId="0" applyNumberFormat="1" applyBorder="1">
      <alignment vertical="center"/>
    </xf>
    <xf numFmtId="0" fontId="0" fillId="0" borderId="10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center" vertical="center"/>
    </xf>
  </cellXfs>
  <cellStyles count="3">
    <cellStyle name="一般" xfId="0" builtinId="0"/>
    <cellStyle name="一般 2" xfId="1"/>
    <cellStyle name="一般 3" xfId="2"/>
  </cellStyles>
  <dxfs count="323">
    <dxf>
      <alignment textRotation="255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font>
        <color auto="1"/>
      </font>
    </dxf>
    <dxf>
      <alignment textRotation="255" readingOrder="0"/>
    </dxf>
    <dxf>
      <alignment textRotation="255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70C0"/>
      </font>
    </dxf>
    <dxf>
      <fill>
        <patternFill>
          <bgColor auto="1"/>
        </patternFill>
      </fill>
    </dxf>
    <dxf>
      <font>
        <b val="0"/>
      </font>
    </dxf>
    <dxf>
      <font>
        <sz val="10"/>
      </font>
    </dxf>
    <dxf>
      <alignment shrinkToFit="1" readingOrder="0"/>
    </dxf>
    <dxf>
      <alignment shrinkToFit="1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textRotation="255" readingOrder="0"/>
    </dxf>
    <dxf>
      <alignment textRotation="255" readingOrder="0"/>
    </dxf>
    <dxf>
      <alignment textRotation="255" readingOrder="0"/>
    </dxf>
    <dxf>
      <font>
        <sz val="12"/>
      </font>
    </dxf>
    <dxf>
      <alignment horizontal="right" readingOrder="0"/>
    </dxf>
    <dxf>
      <font>
        <sz val="10"/>
      </font>
    </dxf>
    <dxf>
      <alignment shrinkToFit="1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2"/>
      <tableStyleElement type="headerRow" dxfId="321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191497</xdr:colOff>
          <xdr:row>0</xdr:row>
          <xdr:rowOff>172348</xdr:rowOff>
        </xdr:from>
        <xdr:to>
          <xdr:col>1</xdr:col>
          <xdr:colOff>651091</xdr:colOff>
          <xdr:row>0</xdr:row>
          <xdr:rowOff>564917</xdr:rowOff>
        </xdr:to>
        <xdr:sp macro="" textlink="">
          <xdr:nvSpPr>
            <xdr:cNvPr id="11265" name="cmd產生訂購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95749</xdr:colOff>
          <xdr:row>1</xdr:row>
          <xdr:rowOff>47874</xdr:rowOff>
        </xdr:from>
        <xdr:to>
          <xdr:col>8</xdr:col>
          <xdr:colOff>737265</xdr:colOff>
          <xdr:row>12</xdr:row>
          <xdr:rowOff>43087</xdr:rowOff>
        </xdr:to>
        <xdr:sp macro="" textlink="">
          <xdr:nvSpPr>
            <xdr:cNvPr id="11266" name="txtSQL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296821</xdr:colOff>
          <xdr:row>0</xdr:row>
          <xdr:rowOff>0</xdr:rowOff>
        </xdr:from>
        <xdr:to>
          <xdr:col>2</xdr:col>
          <xdr:colOff>1220796</xdr:colOff>
          <xdr:row>1</xdr:row>
          <xdr:rowOff>67024</xdr:rowOff>
        </xdr:to>
        <xdr:sp macro="" textlink="">
          <xdr:nvSpPr>
            <xdr:cNvPr id="23557" name="cmd重選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2</xdr:col>
      <xdr:colOff>14363</xdr:colOff>
      <xdr:row>21</xdr:row>
      <xdr:rowOff>239371</xdr:rowOff>
    </xdr:from>
    <xdr:to>
      <xdr:col>26</xdr:col>
      <xdr:colOff>214387</xdr:colOff>
      <xdr:row>26</xdr:row>
      <xdr:rowOff>4736</xdr:rowOff>
    </xdr:to>
    <xdr:sp macro="" textlink="">
      <xdr:nvSpPr>
        <xdr:cNvPr id="3" name="Text Box 6"/>
        <xdr:cNvSpPr txBox="1">
          <a:spLocks noChangeArrowheads="1"/>
        </xdr:cNvSpPr>
      </xdr:nvSpPr>
      <xdr:spPr bwMode="auto">
        <a:xfrm>
          <a:off x="603217" y="5270965"/>
          <a:ext cx="9449348" cy="98616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★聯絡電話：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04-7294217   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傳真：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04-7267517   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聯絡人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: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范岱玲小姐。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/>
          </a:r>
          <a:b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</a:b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★送書時間 </a:t>
          </a:r>
          <a:r>
            <a:rPr lang="zh-TW" altLang="zh-TW" sz="1000" b="0" i="0" baseline="0">
              <a:effectLst/>
              <a:latin typeface="+mn-lt"/>
              <a:ea typeface="+mn-ea"/>
              <a:cs typeface="+mn-cs"/>
            </a:rPr>
            <a:t>：</a:t>
          </a:r>
          <a:r>
            <a:rPr lang="en-US" altLang="zh-TW" sz="10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107/01/08~09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，每日上午 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08:30~11:30(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逾時不受理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)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， 送書地點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: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視廳教室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/>
          </a:r>
          <a:b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</a:b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★包裝方式</a:t>
          </a:r>
          <a:r>
            <a:rPr lang="zh-TW" altLang="zh-TW" sz="1000" b="0" i="0" baseline="0">
              <a:effectLst/>
              <a:latin typeface="+mn-lt"/>
              <a:ea typeface="+mn-ea"/>
              <a:cs typeface="+mn-cs"/>
            </a:rPr>
            <a:t>：</a:t>
          </a:r>
          <a:r>
            <a:rPr lang="en-US" altLang="zh-TW" sz="10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分班包裝，箱子請註明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『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日校用書、班級、書名、數量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』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mes Lee" refreshedDate="43101.96881215278" createdVersion="5" refreshedVersion="4" minRefreshableVersion="3" recordCount="187">
  <cacheSource type="worksheet">
    <worksheetSource ref="A2:M189" sheet="各科書目"/>
  </cacheSource>
  <cacheFields count="13">
    <cacheField name="部別" numFmtId="0">
      <sharedItems count="2">
        <s v="日校"/>
        <s v="進修"/>
      </sharedItems>
    </cacheField>
    <cacheField name="科別" numFmtId="0">
      <sharedItems/>
    </cacheField>
    <cacheField name="年級" numFmtId="0">
      <sharedItems/>
    </cacheField>
    <cacheField name="班級" numFmtId="0">
      <sharedItems/>
    </cacheField>
    <cacheField name="書商" numFmtId="0">
      <sharedItems count="15">
        <s v="三民"/>
        <s v="台科大"/>
        <s v="幼獅"/>
        <s v="全華"/>
        <s v="育達"/>
        <s v="東大"/>
        <s v="信樺"/>
        <s v="南一"/>
        <s v="泰宇"/>
        <s v="啟芳"/>
        <s v="翔宇"/>
        <s v="華興"/>
        <s v="旗立"/>
        <s v="翰林"/>
        <s v="龍騰"/>
      </sharedItems>
    </cacheField>
    <cacheField name="書名" numFmtId="0">
      <sharedItems count="60">
        <s v="公民與社會選修(下)"/>
        <s v="高中英文(二)"/>
        <s v="高中英文(五)"/>
        <s v="歷史(二)"/>
        <s v="歷史(四)"/>
        <s v="選修數學(乙)(下)"/>
        <s v="選修數學(甲)(下)"/>
        <s v="選修歷史(下)"/>
        <s v="基本設計(Ⅱ)"/>
        <s v="管理學概要(Ⅱ)"/>
        <s v="當代軍事科技(全)"/>
        <s v="基礎地球科學(下)"/>
        <s v="全民國防教育(Ⅱ)"/>
        <s v="健康與護理(Ⅱ)"/>
        <s v="體育(Ⅵ)"/>
        <s v="高職英文(二)"/>
        <s v="高職英文(六)"/>
        <s v="高職英文(四)"/>
        <s v="高職國文(二)"/>
        <s v="商業概論(Ⅱ)"/>
        <s v="會計學(Ⅱ)"/>
        <s v="經濟學(Ⅱ)"/>
        <s v="數學B(四)"/>
        <s v="高中數學(二)"/>
        <s v="高中數學(四)"/>
        <s v="基礎物理(二)B(下)"/>
        <s v="基礎化學(三)"/>
        <s v="選修化學(下)"/>
        <s v="體育(Ⅳ)"/>
        <s v="行銷學(Ⅱ)"/>
        <s v="會計學(Ⅲ)"/>
        <s v="電腦IFRS實力養成評量(TQC)(全)"/>
        <s v="戰爭與危機的啟示(全)"/>
        <s v="體育(Ⅱ)"/>
        <s v="計算機概論(Ⅱ)"/>
        <s v="計算機概論(Ⅳ)"/>
        <s v="公民與社會(二)"/>
        <s v="高中地理(二)"/>
        <s v="高中國文(二)"/>
        <s v="高中國文(四)"/>
        <s v="高職國文(四)"/>
        <s v="基礎生物(上)"/>
        <s v="公民與社會(四)"/>
        <s v="高中地理(四)"/>
        <s v="國際貿易實務(Ⅲ)"/>
        <s v="數學B(二)"/>
        <s v="選修生物(上)"/>
        <s v="選修物理(下)"/>
        <s v="應用地理(下)"/>
        <s v="健康情感管理(全)"/>
        <s v="英文B(六課版)(Ⅱ)"/>
        <s v="高職歷史B(全)"/>
        <s v="會計學(Ⅳ)"/>
        <s v="英文(B版)(Ⅵ)"/>
        <s v="高職英文(B版)(Ⅳ)"/>
        <s v="高職國文(六)"/>
        <s v="高職數學B(陳版)(Ⅱ)"/>
        <s v="國際貿易實務(Ⅱ)"/>
        <s v="國際貿易實務(Ⅳ)"/>
        <s v="數學B(Ⅳ)"/>
      </sharedItems>
    </cacheField>
    <cacheField name="學生價" numFmtId="0">
      <sharedItems containsSemiMixedTypes="0" containsString="0" containsNumber="1" containsInteger="1" minValue="125" maxValue="335" count="42">
        <n v="218"/>
        <n v="232"/>
        <n v="248"/>
        <n v="228"/>
        <n v="220"/>
        <n v="168"/>
        <n v="198"/>
        <n v="210"/>
        <n v="331"/>
        <n v="200"/>
        <n v="160"/>
        <n v="262"/>
        <n v="155"/>
        <n v="125"/>
        <n v="240"/>
        <n v="230"/>
        <n v="250"/>
        <n v="185"/>
        <n v="231"/>
        <n v="209"/>
        <n v="140"/>
        <n v="335"/>
        <n v="145"/>
        <n v="146"/>
        <n v="278"/>
        <n v="206"/>
        <n v="215"/>
        <n v="195"/>
        <n v="202"/>
        <n v="199"/>
        <n v="249"/>
        <n v="265"/>
        <n v="180"/>
        <n v="253"/>
        <n v="241"/>
        <n v="150"/>
        <n v="280"/>
        <n v="233"/>
        <n v="205"/>
        <n v="187"/>
        <n v="285"/>
        <n v="254"/>
      </sharedItems>
    </cacheField>
    <cacheField name="人數" numFmtId="0">
      <sharedItems containsSemiMixedTypes="0" containsString="0" containsNumber="1" containsInteger="1" minValue="5" maxValue="164"/>
    </cacheField>
    <cacheField name="金額" numFmtId="3">
      <sharedItems containsSemiMixedTypes="0" containsString="0" containsNumber="1" containsInteger="1" minValue="1085" maxValue="52260"/>
    </cacheField>
    <cacheField name="作者" numFmtId="0">
      <sharedItems count="50">
        <s v="劉義周.等"/>
        <s v="車蓓群"/>
        <s v="薛化元"/>
        <s v="古偉瀛等"/>
        <s v="單維彰.鄭惟厚.等"/>
        <s v="古偉瀛.王世宗.等"/>
        <s v="李銘龍.陳美燕.等"/>
        <s v="練惠琪"/>
        <s v="幼獅編輯部"/>
        <s v="王乾盈"/>
        <s v="高德智.等"/>
        <s v="鄭美治.等"/>
        <s v="楊志顯"/>
        <s v="王基倫.等"/>
        <s v="徐玉霞.等"/>
        <s v="陳文欽.等"/>
        <s v="國立民"/>
        <s v="姚敏庭.等"/>
        <s v="林福來"/>
        <s v="傅昭銘.等"/>
        <s v="陳竹亭.等"/>
        <s v="宋洪經.等"/>
        <s v="啟芳研究室"/>
        <s v="林若娟.等"/>
        <s v="財團法人中華民國電腦技能基金會"/>
        <s v="林文榮.等"/>
        <s v="沈易利.等"/>
        <s v="施威銘.等"/>
        <s v="李酉潭.等"/>
        <s v="賴進貴.等"/>
        <s v="宋隆發.等"/>
        <s v="趙大衛"/>
        <s v="林有土"/>
        <s v="陳國川.等"/>
        <s v="王令玲"/>
        <s v="高宏輝"/>
        <s v="李家維"/>
        <s v="高涌泉.等"/>
        <s v="張芬蘭"/>
        <s v="郭鐘隆"/>
        <s v="曾麗玲"/>
        <s v="陳鴻圖"/>
        <s v="蔡柳卿.等"/>
        <s v="李芳傑"/>
        <s v="高翠玲"/>
        <s v="黃玟君.等"/>
        <s v="黃玟君"/>
        <s v="何寄澎"/>
        <s v="陳秋錦"/>
        <s v="陳文欽等" u="1"/>
      </sharedItems>
    </cacheField>
    <cacheField name="審定字號" numFmtId="0">
      <sharedItems count="57">
        <s v="0837"/>
        <s v="0926"/>
        <s v="104008"/>
        <s v="0871"/>
        <s v="0902"/>
        <s v="0830"/>
        <s v="104009"/>
        <s v="103002"/>
        <s v="104149"/>
        <s v="免審"/>
        <s v="0623"/>
        <s v="0497"/>
        <s v="0565"/>
        <s v="02294"/>
        <s v="02514"/>
        <s v="105027"/>
        <s v="104095"/>
        <s v="01721"/>
        <s v="104138"/>
        <s v="105023"/>
        <s v="104140"/>
        <s v="02174"/>
        <s v="0584"/>
        <s v="0703"/>
        <s v="0717"/>
        <s v="0676"/>
        <s v="0858"/>
        <s v="02201"/>
        <s v="02547"/>
        <s v="部編"/>
        <s v="01716"/>
        <s v="02425"/>
        <s v="02335"/>
        <s v="0630"/>
        <s v="0618"/>
        <s v="0847"/>
        <s v="0888"/>
        <s v="02087"/>
        <s v="0538"/>
        <s v="0721"/>
        <s v="0720"/>
        <s v="01643"/>
        <s v="0776"/>
        <s v="0824"/>
        <s v="0843"/>
        <s v="0484"/>
        <s v="105038"/>
        <s v="01337"/>
        <s v="02536"/>
        <s v="104119"/>
        <s v="104151"/>
        <s v="105034"/>
        <s v="104162"/>
        <s v="02270"/>
        <s v="02049"/>
        <s v="01651"/>
        <s v="02099"/>
      </sharedItems>
    </cacheField>
    <cacheField name="執照期限" numFmtId="0">
      <sharedItems containsBlank="1" count="55">
        <s v="101-09-05~107-09-04"/>
        <s v="103-05-13~109-05-12"/>
        <s v="104-12-22~110-12-21"/>
        <s v="101-12-07~107-12-06"/>
        <s v="102-11-28~108-11-27"/>
        <s v="101-08-14~107-08-13"/>
        <s v="103-09-16~109-09-15"/>
        <s v="104-09-21~110-09-20"/>
        <m/>
        <s v="099-10-12~108-07-31"/>
        <s v="098-11-23~108-07-31"/>
        <s v="099-04-01~108-07-31"/>
        <s v="101-11-21~107-11-20"/>
        <s v="103-05-27~109-05-26"/>
        <s v="105-07-18~111-07-17"/>
        <s v="104-05-26~110-05-25"/>
        <s v="099-10-07~107-07-31"/>
        <s v="104-08-24~110-08-23"/>
        <s v="105-05-12~111-05-11"/>
        <s v="104-08-26~110-08-25"/>
        <s v="100-12-19~108-07-31"/>
        <s v="099-06-11~107-06-10"/>
        <s v="100-05-23~107-05-22"/>
        <s v="100-07-18~107-07-17"/>
        <s v="100-04-12~109-07-31"/>
        <s v="101-11-06~110-07-31"/>
        <s v="101-02-04~108-07-31"/>
        <s v="103-07-14~109-07-13"/>
        <s v="099-10-04~107-07-31"/>
        <s v="103-01-14~109-01-13"/>
        <s v="102-05-23~109-07-31"/>
        <s v="099-11-04~108-07-31"/>
        <s v="099-09-29~108-07-31"/>
        <s v="101-09-18~108-07-31"/>
        <s v="102-05-28~109-07-31"/>
        <s v="100-09-22~108-07-31"/>
        <s v="099-02-24~108-07-31"/>
        <s v="100-08-17~109-07-31"/>
        <s v="100-08-12~109-07-31"/>
        <s v="099-07-02~107-07-31"/>
        <s v="101-03-14~110-07-31"/>
        <s v="101-02-22~107-02-23"/>
        <s v="101-09-13~110-07-31"/>
        <s v="098-10-07~108-07-31"/>
        <s v="105-11-15~111-11-14"/>
        <s v="099-01-05~107-07-31"/>
        <s v="103-06-30~109-06-29"/>
        <s v="104-07-13~110-07-12"/>
        <s v="104-09-22~110-09-21"/>
        <s v="105-10-11~111-10-10"/>
        <s v="104-10-27~110-10-26"/>
        <s v="101-07-20~109-07-31"/>
        <s v="100-08-05~108-07-31"/>
        <s v="099-07-14~107-07-31"/>
        <s v="100-09-30~108-07-31"/>
      </sharedItems>
    </cacheField>
    <cacheField name="備註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ames Lee" refreshedDate="43114.957621643516" createdVersion="5" refreshedVersion="4" minRefreshableVersion="3" recordCount="483">
  <cacheSource type="worksheet">
    <worksheetSource ref="A1:K484" sheet="書單(班)"/>
  </cacheSource>
  <cacheFields count="12">
    <cacheField name="部別" numFmtId="0">
      <sharedItems count="2">
        <s v="日校"/>
        <s v="進修"/>
      </sharedItems>
    </cacheField>
    <cacheField name="班級" numFmtId="0">
      <sharedItems count="71">
        <s v="高一1"/>
        <s v="高一2"/>
        <s v="高一3"/>
        <s v="高一4"/>
        <s v="外一1"/>
        <s v="外一2"/>
        <s v="廣一1"/>
        <s v="廣一2"/>
        <s v="商一1"/>
        <s v="商一2"/>
        <s v="商一3"/>
        <s v="商一4"/>
        <s v="(進)商一1"/>
        <s v="(進)商一2"/>
        <s v="(進)商一3"/>
        <s v="(進)貿一1"/>
        <s v="(進)備一1"/>
        <s v="貿一1"/>
        <s v="貿一2"/>
        <s v="貿一3"/>
        <s v="貿一4"/>
        <s v="資一1"/>
        <s v="資一2"/>
        <s v="(進)備一2"/>
        <s v="高二1"/>
        <s v="高二2"/>
        <s v="高二3"/>
        <s v="高二4"/>
        <s v="外二1"/>
        <s v="外二2"/>
        <s v="(進)商二1"/>
        <s v="(進)商二2"/>
        <s v="(進)商二3"/>
        <s v="(進)商二4"/>
        <s v="(進)貿二1"/>
        <s v="(進)備二1"/>
        <s v="商二1"/>
        <s v="商二2"/>
        <s v="商二3"/>
        <s v="商二4"/>
        <s v="貿二1"/>
        <s v="貿二2"/>
        <s v="貿二3"/>
        <s v="貿二4"/>
        <s v="資二1"/>
        <s v="資二2"/>
        <s v="廣二1"/>
        <s v="廣二2"/>
        <s v="(進)備二2"/>
        <s v="高三1"/>
        <s v="高三2"/>
        <s v="高三3"/>
        <s v="高三4"/>
        <s v="商三1"/>
        <s v="商三2"/>
        <s v="商三3"/>
        <s v="商三4"/>
        <s v="貿三1"/>
        <s v="貿三2"/>
        <s v="貿三3"/>
        <s v="貿三4"/>
        <s v="資三1"/>
        <s v="資三2"/>
        <s v="廣三1"/>
        <s v="廣三2"/>
        <s v="外三1"/>
        <s v="外三2"/>
        <s v="(進)貿三1"/>
        <s v="(進)商三1"/>
        <s v="(進)商三2"/>
        <s v="(進)商三3"/>
      </sharedItems>
    </cacheField>
    <cacheField name="年級" numFmtId="0">
      <sharedItems count="3">
        <s v="一"/>
        <s v="二"/>
        <s v="三"/>
      </sharedItems>
    </cacheField>
    <cacheField name="書商" numFmtId="0">
      <sharedItems count="15">
        <s v="三民"/>
        <s v="台科大"/>
        <s v="幼獅"/>
        <s v="全華"/>
        <s v="育達"/>
        <s v="東大"/>
        <s v="信樺"/>
        <s v="南一"/>
        <s v="啟芳"/>
        <s v="華興"/>
        <s v="旗立"/>
        <s v="翰林"/>
        <s v="龍騰"/>
        <s v="泰宇"/>
        <s v="翔宇"/>
      </sharedItems>
    </cacheField>
    <cacheField name="書名" numFmtId="0">
      <sharedItems count="60">
        <s v="高中英文(二)"/>
        <s v="歷史(二)"/>
        <s v="基本設計(Ⅱ)"/>
        <s v="管理學概要(Ⅱ)"/>
        <s v="健康與護理(Ⅱ)"/>
        <s v="基礎地球科學(下)"/>
        <s v="全民國防教育(Ⅱ)"/>
        <s v="英文B(六課版)(Ⅱ)"/>
        <s v="高職英文(二)"/>
        <s v="高職國文(二)"/>
        <s v="高職歷史B(全)"/>
        <s v="商業概論(Ⅱ)"/>
        <s v="會計學(Ⅱ)"/>
        <s v="高中數學(二)"/>
        <s v="會計學(Ⅲ)"/>
        <s v="體育(Ⅱ)"/>
        <s v="計算機概論(Ⅱ)"/>
        <s v="公民與社會(二)"/>
        <s v="高中地理(二)"/>
        <s v="高中國文(二)"/>
        <s v="基礎生物(上)"/>
        <s v="高職數學B(陳版)(Ⅱ)"/>
        <s v="國際貿易實務(Ⅱ)"/>
        <s v="國際貿易實務(Ⅲ)"/>
        <s v="數學B(二)"/>
        <s v="高中英文(五)"/>
        <s v="歷史(四)"/>
        <s v="健康情感管理(全)"/>
        <s v="當代軍事科技(全)"/>
        <s v="高職英文(四)"/>
        <s v="經濟學(Ⅱ)"/>
        <s v="數學B(四)"/>
        <s v="高中數學(四)"/>
        <s v="基礎物理(二)B(下)"/>
        <s v="基礎化學(三)"/>
        <s v="體育(Ⅳ)"/>
        <s v="行銷學(Ⅱ)"/>
        <s v="會計學(Ⅳ)"/>
        <s v="電腦IFRS實力養成評量(TQC)(全)"/>
        <s v="計算機概論(Ⅳ)"/>
        <s v="高職國文(四)"/>
        <s v="公民與社會(四)"/>
        <s v="高中地理(四)"/>
        <s v="高職英文(B版)(Ⅳ)"/>
        <s v="國際貿易實務(Ⅳ)"/>
        <s v="數學B(Ⅳ)"/>
        <s v="選修生物(上)"/>
        <s v="公民與社會選修(下)"/>
        <s v="選修數學(乙)(下)"/>
        <s v="選修數學(甲)(下)"/>
        <s v="選修歷史(下)"/>
        <s v="體育(Ⅵ)"/>
        <s v="高職英文(六)"/>
        <s v="選修化學(下)"/>
        <s v="戰爭與危機的啟示(全)"/>
        <s v="英文(B版)(Ⅵ)"/>
        <s v="高職國文(六)"/>
        <s v="選修物理(下)"/>
        <s v="應用地理(下)"/>
        <s v="高中國文(四)" u="1"/>
      </sharedItems>
    </cacheField>
    <cacheField name="單價" numFmtId="0">
      <sharedItems containsSemiMixedTypes="0" containsString="0" containsNumber="1" containsInteger="1" minValue="125" maxValue="335" count="41">
        <n v="232"/>
        <n v="228"/>
        <n v="331"/>
        <n v="200"/>
        <n v="160"/>
        <n v="262"/>
        <n v="155"/>
        <n v="168"/>
        <n v="210"/>
        <n v="240"/>
        <n v="185"/>
        <n v="230"/>
        <n v="141"/>
        <n v="278"/>
        <n v="206"/>
        <n v="215"/>
        <n v="195"/>
        <n v="218"/>
        <n v="187"/>
        <n v="285"/>
        <n v="265"/>
        <n v="180"/>
        <n v="248"/>
        <n v="220"/>
        <n v="150"/>
        <n v="250"/>
        <n v="231"/>
        <n v="209"/>
        <n v="125"/>
        <n v="140"/>
        <n v="335"/>
        <n v="280"/>
        <n v="199"/>
        <n v="249"/>
        <n v="205"/>
        <n v="254"/>
        <n v="253"/>
        <n v="198"/>
        <n v="145"/>
        <n v="233"/>
        <n v="241"/>
      </sharedItems>
    </cacheField>
    <cacheField name="人數" numFmtId="0">
      <sharedItems containsSemiMixedTypes="0" containsString="0" containsNumber="1" containsInteger="1" minValue="5" maxValue="53"/>
    </cacheField>
    <cacheField name="金額" numFmtId="0">
      <sharedItems containsSemiMixedTypes="0" containsString="0" containsNumber="1" containsInteger="1" minValue="1085" maxValue="13409"/>
    </cacheField>
    <cacheField name="作者" numFmtId="0">
      <sharedItems count="51">
        <s v="車蓓群"/>
        <s v="薛化元"/>
        <s v="李銘龍.陳美燕.等"/>
        <s v="練惠琪"/>
        <s v="郭鐘隆"/>
        <s v="王乾盈"/>
        <s v="高德智.等"/>
        <s v="鄭美治.等"/>
        <s v="曾麗玲"/>
        <s v="王基倫.等"/>
        <s v="陳鴻圖"/>
        <s v="徐玉霞.等"/>
        <s v="陳文欽.等"/>
        <s v="林福來"/>
        <s v="蔡柳卿.等"/>
        <s v="林若娟.等"/>
        <s v="沈易利.等"/>
        <s v="施威銘.等"/>
        <s v="李酉潭.等"/>
        <s v="賴進貴.等"/>
        <s v="宋隆發.等"/>
        <s v="趙大衛"/>
        <s v="陳秋錦"/>
        <s v="王令玲"/>
        <s v="高宏輝"/>
        <s v="古偉瀛等"/>
        <s v="張芬蘭"/>
        <s v="幼獅編輯部"/>
        <s v="國立民"/>
        <s v="姚敏庭.等"/>
        <s v="傅昭銘.等"/>
        <s v="陳竹亭.等"/>
        <s v="宋洪經.等"/>
        <s v="啟芳研究室"/>
        <s v="李芳傑"/>
        <s v="財團法人中華民國電腦技能基金會"/>
        <s v="高翠玲"/>
        <s v="林有土"/>
        <s v="陳國川.等"/>
        <s v="黃玟君"/>
        <s v="何寄澎"/>
        <s v="李家維"/>
        <s v="劉義周.等"/>
        <s v="單維彰.鄭惟厚.等"/>
        <s v="古偉瀛.王世宗.等"/>
        <s v="楊志顯"/>
        <s v="林文榮.等"/>
        <s v="黃玟君.等"/>
        <s v="高涌泉.等"/>
        <s v="陳文欽等" u="1"/>
        <s v="高德智" u="1"/>
      </sharedItems>
    </cacheField>
    <cacheField name="審定字號" numFmtId="0">
      <sharedItems count="57">
        <s v="0926"/>
        <s v="0871"/>
        <s v="104149"/>
        <s v="免審"/>
        <s v="0484"/>
        <s v="0623"/>
        <s v="0497"/>
        <s v="0565"/>
        <s v="105038"/>
        <s v="02514"/>
        <s v="01721"/>
        <s v="01337"/>
        <s v="104138"/>
        <s v="105023"/>
        <s v="0584"/>
        <s v="02536"/>
        <s v="02547"/>
        <s v="01716"/>
        <s v="02425"/>
        <s v="0630"/>
        <s v="0618"/>
        <s v="0847"/>
        <s v="0538"/>
        <s v="01651"/>
        <s v="01643"/>
        <s v="104008"/>
        <s v="0902"/>
        <s v="104095"/>
        <s v="104140"/>
        <s v="02174"/>
        <s v="0703"/>
        <s v="0717"/>
        <s v="0676"/>
        <s v="02201"/>
        <s v="104119"/>
        <s v="部編"/>
        <s v="02335"/>
        <s v="104151"/>
        <s v="02087"/>
        <s v="0721"/>
        <s v="0720"/>
        <s v="104162"/>
        <s v="02049"/>
        <s v="02099"/>
        <s v="0776"/>
        <s v="0837"/>
        <s v="0830"/>
        <s v="104009"/>
        <s v="103002"/>
        <s v="02294"/>
        <s v="105027"/>
        <s v="0858"/>
        <s v="105034"/>
        <s v="02270"/>
        <s v="0824"/>
        <s v="0843"/>
        <s v="0888" u="1"/>
      </sharedItems>
    </cacheField>
    <cacheField name="執照期限" numFmtId="0">
      <sharedItems containsBlank="1" count="55">
        <s v="103-05-13~109-05-12"/>
        <s v="101-12-07~107-12-06"/>
        <s v="104-09-21~110-09-20"/>
        <m/>
        <s v="098-10-07~108-07-31"/>
        <s v="099-10-12~108-07-31"/>
        <s v="098-11-23~108-07-31"/>
        <s v="099-04-01~108-07-31"/>
        <s v="105-11-15~111-11-14"/>
        <s v="103-05-27~109-05-26"/>
        <s v="099-10-07~107-07-31"/>
        <s v="099-01-05~107-07-31"/>
        <s v="104-08-24~110-08-23"/>
        <s v="105-05-12~111-05-11"/>
        <s v="099-06-11~107-06-10"/>
        <s v="103-06-30~109-06-29"/>
        <s v="103-07-14~109-07-13"/>
        <s v="099-10-04~107-07-31"/>
        <s v="103-01-14~109-01-13"/>
        <s v="099-11-04~108-07-31"/>
        <s v="099-09-29~108-07-31"/>
        <s v="101-09-18~108-07-31"/>
        <s v="099-02-24~108-07-31"/>
        <s v="099-07-14~107-07-31"/>
        <s v="099-07-02~107-07-31"/>
        <s v="104-12-22~110-12-21"/>
        <s v="102-11-28~108-11-27"/>
        <s v="104-05-26~110-05-25"/>
        <s v="104-08-26~110-08-25"/>
        <s v="100-12-19~108-07-31"/>
        <s v="100-05-23~107-05-22"/>
        <s v="100-07-18~107-07-17"/>
        <s v="100-04-12~109-07-31"/>
        <s v="101-02-04~108-07-31"/>
        <s v="104-07-13~110-07-12"/>
        <s v="102-05-23~109-07-31"/>
        <s v="104-09-22~110-09-21"/>
        <s v="100-09-22~108-07-31"/>
        <s v="100-08-17~109-07-31"/>
        <s v="100-08-12~109-07-31"/>
        <s v="104-10-27~110-10-26"/>
        <s v="100-08-05~108-07-31"/>
        <s v="100-09-30~108-07-31"/>
        <s v="101-03-14~110-07-31"/>
        <s v="101-09-05~107-09-04"/>
        <s v="101-08-14~107-08-13"/>
        <s v="103-09-16~109-09-15"/>
        <s v="101-11-21~107-11-20"/>
        <s v="105-07-18~111-07-17"/>
        <s v="101-11-06~110-07-31"/>
        <s v="105-10-11~111-10-10"/>
        <s v="101-07-20~109-07-31"/>
        <s v="101-02-22~107-02-23"/>
        <s v="101-09-13~110-07-31"/>
        <s v="102-05-28~109-07-31" u="1"/>
      </sharedItems>
    </cacheField>
    <cacheField name="金額小計" numFmtId="0" formula="金額*人數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7">
  <r>
    <x v="0"/>
    <s v="綜合高中"/>
    <s v="三"/>
    <s v="1.2"/>
    <x v="0"/>
    <x v="0"/>
    <x v="0"/>
    <n v="62"/>
    <n v="13516"/>
    <x v="0"/>
    <x v="0"/>
    <x v="0"/>
    <m/>
  </r>
  <r>
    <x v="0"/>
    <s v="外語科"/>
    <s v="一"/>
    <s v="1.2"/>
    <x v="0"/>
    <x v="1"/>
    <x v="1"/>
    <n v="78"/>
    <n v="18096"/>
    <x v="1"/>
    <x v="1"/>
    <x v="1"/>
    <m/>
  </r>
  <r>
    <x v="0"/>
    <s v="綜合高中"/>
    <s v="一"/>
    <s v="1.2.3.4"/>
    <x v="0"/>
    <x v="1"/>
    <x v="1"/>
    <n v="154"/>
    <n v="35728"/>
    <x v="1"/>
    <x v="1"/>
    <x v="1"/>
    <m/>
  </r>
  <r>
    <x v="0"/>
    <s v="外語科"/>
    <s v="二"/>
    <s v="1.2"/>
    <x v="0"/>
    <x v="2"/>
    <x v="2"/>
    <n v="82"/>
    <n v="20336"/>
    <x v="1"/>
    <x v="2"/>
    <x v="2"/>
    <m/>
  </r>
  <r>
    <x v="0"/>
    <s v="綜合高中"/>
    <s v="二"/>
    <s v="1.2.3.4"/>
    <x v="0"/>
    <x v="2"/>
    <x v="2"/>
    <n v="164"/>
    <n v="40672"/>
    <x v="1"/>
    <x v="2"/>
    <x v="2"/>
    <m/>
  </r>
  <r>
    <x v="0"/>
    <s v="綜合高中"/>
    <s v="一"/>
    <s v="1.2.3.4"/>
    <x v="0"/>
    <x v="3"/>
    <x v="3"/>
    <n v="154"/>
    <n v="35112"/>
    <x v="2"/>
    <x v="3"/>
    <x v="3"/>
    <m/>
  </r>
  <r>
    <x v="0"/>
    <s v="綜合高中"/>
    <s v="二"/>
    <s v="1.2.3.4"/>
    <x v="0"/>
    <x v="4"/>
    <x v="4"/>
    <n v="164"/>
    <n v="36080"/>
    <x v="3"/>
    <x v="4"/>
    <x v="4"/>
    <m/>
  </r>
  <r>
    <x v="0"/>
    <s v="綜合高中"/>
    <s v="三"/>
    <s v="1.2"/>
    <x v="0"/>
    <x v="5"/>
    <x v="5"/>
    <n v="62"/>
    <n v="10416"/>
    <x v="4"/>
    <x v="5"/>
    <x v="5"/>
    <m/>
  </r>
  <r>
    <x v="0"/>
    <s v="綜合高中"/>
    <s v="三"/>
    <s v="3.4"/>
    <x v="0"/>
    <x v="6"/>
    <x v="6"/>
    <n v="79"/>
    <n v="15642"/>
    <x v="4"/>
    <x v="6"/>
    <x v="2"/>
    <m/>
  </r>
  <r>
    <x v="0"/>
    <s v="綜合高中"/>
    <s v="三"/>
    <s v="1.2"/>
    <x v="0"/>
    <x v="7"/>
    <x v="7"/>
    <n v="62"/>
    <n v="13020"/>
    <x v="5"/>
    <x v="7"/>
    <x v="6"/>
    <m/>
  </r>
  <r>
    <x v="0"/>
    <s v="廣告科"/>
    <s v="一"/>
    <s v="1.2"/>
    <x v="1"/>
    <x v="8"/>
    <x v="8"/>
    <n v="77"/>
    <n v="25487"/>
    <x v="6"/>
    <x v="8"/>
    <x v="7"/>
    <m/>
  </r>
  <r>
    <x v="0"/>
    <s v="商經科"/>
    <s v="一"/>
    <s v="1.2.3.4"/>
    <x v="1"/>
    <x v="9"/>
    <x v="9"/>
    <n v="159"/>
    <n v="31800"/>
    <x v="7"/>
    <x v="9"/>
    <x v="8"/>
    <m/>
  </r>
  <r>
    <x v="0"/>
    <s v="外語科"/>
    <s v="二"/>
    <s v="1.2"/>
    <x v="2"/>
    <x v="10"/>
    <x v="10"/>
    <n v="82"/>
    <n v="13120"/>
    <x v="8"/>
    <x v="9"/>
    <x v="8"/>
    <m/>
  </r>
  <r>
    <x v="0"/>
    <s v="商經科"/>
    <s v="二"/>
    <s v="1.2.3.4"/>
    <x v="2"/>
    <x v="10"/>
    <x v="10"/>
    <n v="156"/>
    <n v="24960"/>
    <x v="8"/>
    <x v="9"/>
    <x v="8"/>
    <m/>
  </r>
  <r>
    <x v="0"/>
    <s v="國貿科"/>
    <s v="二"/>
    <s v="1.2.3.4"/>
    <x v="2"/>
    <x v="10"/>
    <x v="10"/>
    <n v="153"/>
    <n v="24480"/>
    <x v="8"/>
    <x v="9"/>
    <x v="8"/>
    <m/>
  </r>
  <r>
    <x v="0"/>
    <s v="資處科"/>
    <s v="二"/>
    <s v="1.2"/>
    <x v="2"/>
    <x v="10"/>
    <x v="10"/>
    <n v="79"/>
    <n v="12640"/>
    <x v="8"/>
    <x v="9"/>
    <x v="8"/>
    <m/>
  </r>
  <r>
    <x v="0"/>
    <s v="廣告科"/>
    <s v="二"/>
    <s v="1.2"/>
    <x v="2"/>
    <x v="10"/>
    <x v="10"/>
    <n v="78"/>
    <n v="12480"/>
    <x v="8"/>
    <x v="9"/>
    <x v="8"/>
    <m/>
  </r>
  <r>
    <x v="0"/>
    <s v="綜合高中"/>
    <s v="一"/>
    <s v="1.2.3.4"/>
    <x v="3"/>
    <x v="11"/>
    <x v="11"/>
    <n v="154"/>
    <n v="40348"/>
    <x v="9"/>
    <x v="10"/>
    <x v="9"/>
    <m/>
  </r>
  <r>
    <x v="0"/>
    <s v="外語科"/>
    <s v="一"/>
    <s v="1.2"/>
    <x v="4"/>
    <x v="12"/>
    <x v="12"/>
    <n v="78"/>
    <n v="12090"/>
    <x v="10"/>
    <x v="11"/>
    <x v="10"/>
    <m/>
  </r>
  <r>
    <x v="0"/>
    <s v="商經科"/>
    <s v="一"/>
    <s v="1.2.3.4"/>
    <x v="4"/>
    <x v="12"/>
    <x v="12"/>
    <n v="159"/>
    <n v="24645"/>
    <x v="10"/>
    <x v="11"/>
    <x v="10"/>
    <m/>
  </r>
  <r>
    <x v="0"/>
    <s v="國貿科"/>
    <s v="一"/>
    <s v="1.2.3.4"/>
    <x v="4"/>
    <x v="12"/>
    <x v="12"/>
    <n v="156"/>
    <n v="24180"/>
    <x v="10"/>
    <x v="11"/>
    <x v="10"/>
    <m/>
  </r>
  <r>
    <x v="0"/>
    <s v="資處科"/>
    <s v="一"/>
    <s v="1.2"/>
    <x v="4"/>
    <x v="12"/>
    <x v="12"/>
    <n v="75"/>
    <n v="11625"/>
    <x v="10"/>
    <x v="11"/>
    <x v="10"/>
    <m/>
  </r>
  <r>
    <x v="0"/>
    <s v="綜合高中"/>
    <s v="一"/>
    <s v="1.2.3.4"/>
    <x v="4"/>
    <x v="12"/>
    <x v="12"/>
    <n v="154"/>
    <n v="23870"/>
    <x v="10"/>
    <x v="11"/>
    <x v="10"/>
    <m/>
  </r>
  <r>
    <x v="0"/>
    <s v="廣告科"/>
    <s v="一"/>
    <s v="1.2"/>
    <x v="4"/>
    <x v="12"/>
    <x v="12"/>
    <n v="77"/>
    <n v="11935"/>
    <x v="10"/>
    <x v="11"/>
    <x v="10"/>
    <m/>
  </r>
  <r>
    <x v="0"/>
    <s v="外語科"/>
    <s v="一"/>
    <s v="1.2"/>
    <x v="4"/>
    <x v="13"/>
    <x v="5"/>
    <n v="78"/>
    <n v="13104"/>
    <x v="11"/>
    <x v="12"/>
    <x v="11"/>
    <m/>
  </r>
  <r>
    <x v="0"/>
    <s v="商經科"/>
    <s v="一"/>
    <s v="1.2.3.4"/>
    <x v="4"/>
    <x v="13"/>
    <x v="5"/>
    <n v="159"/>
    <n v="26712"/>
    <x v="11"/>
    <x v="12"/>
    <x v="11"/>
    <m/>
  </r>
  <r>
    <x v="0"/>
    <s v="國貿科"/>
    <s v="一"/>
    <s v="1.2.3.4"/>
    <x v="4"/>
    <x v="13"/>
    <x v="5"/>
    <n v="156"/>
    <n v="26208"/>
    <x v="11"/>
    <x v="12"/>
    <x v="11"/>
    <m/>
  </r>
  <r>
    <x v="0"/>
    <s v="資處科"/>
    <s v="一"/>
    <s v="1.2"/>
    <x v="4"/>
    <x v="13"/>
    <x v="5"/>
    <n v="75"/>
    <n v="12600"/>
    <x v="11"/>
    <x v="12"/>
    <x v="11"/>
    <m/>
  </r>
  <r>
    <x v="0"/>
    <s v="綜合高中"/>
    <s v="一"/>
    <s v="1.2.3.4"/>
    <x v="4"/>
    <x v="13"/>
    <x v="5"/>
    <n v="154"/>
    <n v="25872"/>
    <x v="11"/>
    <x v="12"/>
    <x v="11"/>
    <m/>
  </r>
  <r>
    <x v="0"/>
    <s v="廣告科"/>
    <s v="一"/>
    <s v="1.2"/>
    <x v="4"/>
    <x v="13"/>
    <x v="5"/>
    <n v="77"/>
    <n v="12936"/>
    <x v="11"/>
    <x v="12"/>
    <x v="11"/>
    <m/>
  </r>
  <r>
    <x v="0"/>
    <s v="外語科"/>
    <s v="三"/>
    <s v="1.2"/>
    <x v="4"/>
    <x v="14"/>
    <x v="13"/>
    <n v="76"/>
    <n v="9500"/>
    <x v="12"/>
    <x v="13"/>
    <x v="12"/>
    <m/>
  </r>
  <r>
    <x v="0"/>
    <s v="商經科"/>
    <s v="三"/>
    <s v="1.2.3.4"/>
    <x v="4"/>
    <x v="14"/>
    <x v="13"/>
    <n v="144"/>
    <n v="18000"/>
    <x v="12"/>
    <x v="13"/>
    <x v="12"/>
    <m/>
  </r>
  <r>
    <x v="0"/>
    <s v="國貿科"/>
    <s v="三"/>
    <s v="1.2.3.4"/>
    <x v="4"/>
    <x v="14"/>
    <x v="13"/>
    <n v="140"/>
    <n v="17500"/>
    <x v="12"/>
    <x v="13"/>
    <x v="12"/>
    <m/>
  </r>
  <r>
    <x v="0"/>
    <s v="資處科"/>
    <s v="三"/>
    <s v="1.2"/>
    <x v="4"/>
    <x v="14"/>
    <x v="13"/>
    <n v="68"/>
    <n v="8500"/>
    <x v="12"/>
    <x v="13"/>
    <x v="12"/>
    <m/>
  </r>
  <r>
    <x v="0"/>
    <s v="綜合高中"/>
    <s v="三"/>
    <s v="1.2.3.4"/>
    <x v="4"/>
    <x v="14"/>
    <x v="13"/>
    <n v="141"/>
    <n v="17625"/>
    <x v="12"/>
    <x v="13"/>
    <x v="12"/>
    <m/>
  </r>
  <r>
    <x v="0"/>
    <s v="廣告科"/>
    <s v="三"/>
    <s v="1.2"/>
    <x v="4"/>
    <x v="14"/>
    <x v="13"/>
    <n v="71"/>
    <n v="8875"/>
    <x v="12"/>
    <x v="13"/>
    <x v="12"/>
    <m/>
  </r>
  <r>
    <x v="0"/>
    <s v="商經科"/>
    <s v="一"/>
    <s v="1.2.3.4"/>
    <x v="5"/>
    <x v="15"/>
    <x v="7"/>
    <n v="159"/>
    <n v="33390"/>
    <x v="1"/>
    <x v="14"/>
    <x v="13"/>
    <m/>
  </r>
  <r>
    <x v="0"/>
    <s v="國貿科"/>
    <s v="一"/>
    <s v="1.2.3.4"/>
    <x v="5"/>
    <x v="15"/>
    <x v="7"/>
    <n v="156"/>
    <n v="32760"/>
    <x v="1"/>
    <x v="14"/>
    <x v="13"/>
    <m/>
  </r>
  <r>
    <x v="0"/>
    <s v="資處科"/>
    <s v="一"/>
    <s v="1.2"/>
    <x v="5"/>
    <x v="15"/>
    <x v="7"/>
    <n v="75"/>
    <n v="15750"/>
    <x v="1"/>
    <x v="14"/>
    <x v="13"/>
    <m/>
  </r>
  <r>
    <x v="0"/>
    <s v="廣告科"/>
    <s v="一"/>
    <s v="1.2"/>
    <x v="5"/>
    <x v="15"/>
    <x v="7"/>
    <n v="77"/>
    <n v="16170"/>
    <x v="1"/>
    <x v="14"/>
    <x v="13"/>
    <m/>
  </r>
  <r>
    <x v="0"/>
    <s v="商經科"/>
    <s v="三"/>
    <s v="1.2.3.4"/>
    <x v="5"/>
    <x v="16"/>
    <x v="14"/>
    <n v="144"/>
    <n v="34560"/>
    <x v="1"/>
    <x v="15"/>
    <x v="14"/>
    <m/>
  </r>
  <r>
    <x v="0"/>
    <s v="國貿科"/>
    <s v="三"/>
    <s v="1.2.3.4"/>
    <x v="5"/>
    <x v="16"/>
    <x v="14"/>
    <n v="140"/>
    <n v="33600"/>
    <x v="1"/>
    <x v="15"/>
    <x v="14"/>
    <m/>
  </r>
  <r>
    <x v="0"/>
    <s v="資處科"/>
    <s v="三"/>
    <s v="1.2"/>
    <x v="5"/>
    <x v="16"/>
    <x v="14"/>
    <n v="68"/>
    <n v="16320"/>
    <x v="1"/>
    <x v="15"/>
    <x v="14"/>
    <m/>
  </r>
  <r>
    <x v="0"/>
    <s v="廣告科"/>
    <s v="三"/>
    <s v="1.2"/>
    <x v="5"/>
    <x v="16"/>
    <x v="14"/>
    <n v="71"/>
    <n v="17040"/>
    <x v="1"/>
    <x v="15"/>
    <x v="14"/>
    <m/>
  </r>
  <r>
    <x v="0"/>
    <s v="商經科"/>
    <s v="二"/>
    <s v="1.2.3.4"/>
    <x v="5"/>
    <x v="17"/>
    <x v="15"/>
    <n v="156"/>
    <n v="35880"/>
    <x v="1"/>
    <x v="16"/>
    <x v="15"/>
    <m/>
  </r>
  <r>
    <x v="0"/>
    <s v="國貿科"/>
    <s v="二"/>
    <s v="1.2.3.4"/>
    <x v="5"/>
    <x v="17"/>
    <x v="15"/>
    <n v="153"/>
    <n v="35190"/>
    <x v="1"/>
    <x v="16"/>
    <x v="15"/>
    <m/>
  </r>
  <r>
    <x v="0"/>
    <s v="資處科"/>
    <s v="二"/>
    <s v="1.2"/>
    <x v="5"/>
    <x v="17"/>
    <x v="15"/>
    <n v="79"/>
    <n v="18170"/>
    <x v="1"/>
    <x v="16"/>
    <x v="15"/>
    <m/>
  </r>
  <r>
    <x v="0"/>
    <s v="廣告科"/>
    <s v="二"/>
    <s v="1.2"/>
    <x v="5"/>
    <x v="17"/>
    <x v="15"/>
    <n v="78"/>
    <n v="17940"/>
    <x v="1"/>
    <x v="16"/>
    <x v="15"/>
    <m/>
  </r>
  <r>
    <x v="0"/>
    <s v="外語科"/>
    <s v="一"/>
    <s v="1.2"/>
    <x v="5"/>
    <x v="18"/>
    <x v="14"/>
    <n v="78"/>
    <n v="18720"/>
    <x v="13"/>
    <x v="17"/>
    <x v="16"/>
    <m/>
  </r>
  <r>
    <x v="0"/>
    <s v="商經科"/>
    <s v="一"/>
    <s v="1.2.3.4"/>
    <x v="5"/>
    <x v="18"/>
    <x v="14"/>
    <n v="159"/>
    <n v="38160"/>
    <x v="13"/>
    <x v="17"/>
    <x v="16"/>
    <m/>
  </r>
  <r>
    <x v="0"/>
    <s v="國貿科"/>
    <s v="一"/>
    <s v="1.2.3.4"/>
    <x v="5"/>
    <x v="18"/>
    <x v="14"/>
    <n v="156"/>
    <n v="37440"/>
    <x v="13"/>
    <x v="17"/>
    <x v="16"/>
    <m/>
  </r>
  <r>
    <x v="0"/>
    <s v="資處科"/>
    <s v="一"/>
    <s v="1.2"/>
    <x v="5"/>
    <x v="18"/>
    <x v="14"/>
    <n v="75"/>
    <n v="18000"/>
    <x v="13"/>
    <x v="17"/>
    <x v="16"/>
    <m/>
  </r>
  <r>
    <x v="0"/>
    <s v="廣告科"/>
    <s v="一"/>
    <s v="1.2"/>
    <x v="5"/>
    <x v="18"/>
    <x v="14"/>
    <n v="77"/>
    <n v="18480"/>
    <x v="13"/>
    <x v="17"/>
    <x v="16"/>
    <m/>
  </r>
  <r>
    <x v="0"/>
    <s v="外語科"/>
    <s v="一"/>
    <s v="1.2"/>
    <x v="6"/>
    <x v="19"/>
    <x v="9"/>
    <n v="78"/>
    <n v="15600"/>
    <x v="14"/>
    <x v="18"/>
    <x v="17"/>
    <m/>
  </r>
  <r>
    <x v="0"/>
    <s v="商經科"/>
    <s v="一"/>
    <s v="1.2.3.4"/>
    <x v="6"/>
    <x v="19"/>
    <x v="9"/>
    <n v="159"/>
    <n v="31800"/>
    <x v="14"/>
    <x v="18"/>
    <x v="17"/>
    <m/>
  </r>
  <r>
    <x v="0"/>
    <s v="國貿科"/>
    <s v="一"/>
    <s v="1.2.3.4"/>
    <x v="6"/>
    <x v="19"/>
    <x v="9"/>
    <n v="156"/>
    <n v="31200"/>
    <x v="14"/>
    <x v="18"/>
    <x v="17"/>
    <m/>
  </r>
  <r>
    <x v="0"/>
    <s v="資處科"/>
    <s v="一"/>
    <s v="1.2"/>
    <x v="6"/>
    <x v="19"/>
    <x v="9"/>
    <n v="75"/>
    <n v="15000"/>
    <x v="14"/>
    <x v="18"/>
    <x v="17"/>
    <m/>
  </r>
  <r>
    <x v="0"/>
    <s v="商經科"/>
    <s v="一"/>
    <s v="1.2.3.4"/>
    <x v="6"/>
    <x v="20"/>
    <x v="9"/>
    <n v="159"/>
    <n v="31800"/>
    <x v="15"/>
    <x v="19"/>
    <x v="18"/>
    <m/>
  </r>
  <r>
    <x v="0"/>
    <s v="國貿科"/>
    <s v="一"/>
    <s v="1.2.3.4"/>
    <x v="6"/>
    <x v="20"/>
    <x v="9"/>
    <n v="156"/>
    <n v="31200"/>
    <x v="15"/>
    <x v="19"/>
    <x v="18"/>
    <m/>
  </r>
  <r>
    <x v="0"/>
    <s v="資處科"/>
    <s v="一"/>
    <s v="1.2"/>
    <x v="6"/>
    <x v="20"/>
    <x v="9"/>
    <n v="75"/>
    <n v="15000"/>
    <x v="15"/>
    <x v="19"/>
    <x v="18"/>
    <m/>
  </r>
  <r>
    <x v="0"/>
    <s v="商經科"/>
    <s v="二"/>
    <s v="1.2.3.4"/>
    <x v="6"/>
    <x v="21"/>
    <x v="16"/>
    <n v="156"/>
    <n v="39000"/>
    <x v="16"/>
    <x v="20"/>
    <x v="19"/>
    <m/>
  </r>
  <r>
    <x v="0"/>
    <s v="國貿科"/>
    <s v="二"/>
    <s v="1.2.3.4"/>
    <x v="6"/>
    <x v="21"/>
    <x v="16"/>
    <n v="153"/>
    <n v="38250"/>
    <x v="16"/>
    <x v="20"/>
    <x v="19"/>
    <m/>
  </r>
  <r>
    <x v="0"/>
    <s v="資處科"/>
    <s v="二"/>
    <s v="1.2"/>
    <x v="6"/>
    <x v="21"/>
    <x v="16"/>
    <n v="79"/>
    <n v="19750"/>
    <x v="16"/>
    <x v="20"/>
    <x v="19"/>
    <m/>
  </r>
  <r>
    <x v="0"/>
    <s v="外語科"/>
    <s v="二"/>
    <s v="1.2"/>
    <x v="6"/>
    <x v="22"/>
    <x v="17"/>
    <n v="82"/>
    <n v="15170"/>
    <x v="17"/>
    <x v="21"/>
    <x v="20"/>
    <m/>
  </r>
  <r>
    <x v="0"/>
    <s v="商經科"/>
    <s v="二"/>
    <s v="1.2.3.4"/>
    <x v="6"/>
    <x v="22"/>
    <x v="17"/>
    <n v="156"/>
    <n v="28860"/>
    <x v="17"/>
    <x v="21"/>
    <x v="20"/>
    <m/>
  </r>
  <r>
    <x v="0"/>
    <s v="國貿科"/>
    <s v="二"/>
    <s v="1.2.3.4"/>
    <x v="6"/>
    <x v="22"/>
    <x v="17"/>
    <n v="153"/>
    <n v="28305"/>
    <x v="17"/>
    <x v="21"/>
    <x v="20"/>
    <m/>
  </r>
  <r>
    <x v="0"/>
    <s v="資處科"/>
    <s v="二"/>
    <s v="1.2"/>
    <x v="6"/>
    <x v="22"/>
    <x v="17"/>
    <n v="79"/>
    <n v="14615"/>
    <x v="17"/>
    <x v="21"/>
    <x v="20"/>
    <m/>
  </r>
  <r>
    <x v="0"/>
    <s v="廣告科"/>
    <s v="二"/>
    <s v="1.2"/>
    <x v="6"/>
    <x v="22"/>
    <x v="17"/>
    <n v="78"/>
    <n v="14430"/>
    <x v="17"/>
    <x v="21"/>
    <x v="20"/>
    <m/>
  </r>
  <r>
    <x v="0"/>
    <s v="綜合高中"/>
    <s v="一"/>
    <s v="1.2.3.4"/>
    <x v="7"/>
    <x v="23"/>
    <x v="17"/>
    <n v="154"/>
    <n v="28490"/>
    <x v="18"/>
    <x v="22"/>
    <x v="21"/>
    <m/>
  </r>
  <r>
    <x v="0"/>
    <s v="綜合高中"/>
    <s v="二"/>
    <s v="1.2.3.4"/>
    <x v="7"/>
    <x v="24"/>
    <x v="18"/>
    <n v="164"/>
    <n v="37884"/>
    <x v="18"/>
    <x v="23"/>
    <x v="22"/>
    <m/>
  </r>
  <r>
    <x v="0"/>
    <s v="綜合高中"/>
    <s v="二"/>
    <s v="3.4"/>
    <x v="7"/>
    <x v="25"/>
    <x v="19"/>
    <n v="104"/>
    <n v="21736"/>
    <x v="19"/>
    <x v="24"/>
    <x v="23"/>
    <m/>
  </r>
  <r>
    <x v="0"/>
    <s v="綜合高中"/>
    <s v="二"/>
    <s v="3.4"/>
    <x v="8"/>
    <x v="26"/>
    <x v="13"/>
    <n v="104"/>
    <n v="13000"/>
    <x v="20"/>
    <x v="25"/>
    <x v="24"/>
    <m/>
  </r>
  <r>
    <x v="0"/>
    <s v="綜合高中"/>
    <s v="三"/>
    <s v="3.4"/>
    <x v="8"/>
    <x v="27"/>
    <x v="13"/>
    <n v="79"/>
    <n v="9875"/>
    <x v="20"/>
    <x v="26"/>
    <x v="25"/>
    <m/>
  </r>
  <r>
    <x v="0"/>
    <s v="外語科"/>
    <s v="二"/>
    <s v="1.2"/>
    <x v="8"/>
    <x v="28"/>
    <x v="20"/>
    <n v="82"/>
    <n v="11480"/>
    <x v="21"/>
    <x v="27"/>
    <x v="26"/>
    <m/>
  </r>
  <r>
    <x v="0"/>
    <s v="商經科"/>
    <s v="二"/>
    <s v="1.2.3.4"/>
    <x v="8"/>
    <x v="28"/>
    <x v="20"/>
    <n v="156"/>
    <n v="21840"/>
    <x v="21"/>
    <x v="27"/>
    <x v="26"/>
    <m/>
  </r>
  <r>
    <x v="0"/>
    <s v="國貿科"/>
    <s v="二"/>
    <s v="1.2.3.4"/>
    <x v="8"/>
    <x v="28"/>
    <x v="20"/>
    <n v="153"/>
    <n v="21420"/>
    <x v="21"/>
    <x v="27"/>
    <x v="26"/>
    <m/>
  </r>
  <r>
    <x v="0"/>
    <s v="資處科"/>
    <s v="二"/>
    <s v="1.2"/>
    <x v="8"/>
    <x v="28"/>
    <x v="20"/>
    <n v="79"/>
    <n v="11060"/>
    <x v="21"/>
    <x v="27"/>
    <x v="26"/>
    <m/>
  </r>
  <r>
    <x v="0"/>
    <s v="綜合高中"/>
    <s v="二"/>
    <s v="1.2.3.4"/>
    <x v="8"/>
    <x v="28"/>
    <x v="20"/>
    <n v="164"/>
    <n v="22960"/>
    <x v="21"/>
    <x v="27"/>
    <x v="26"/>
    <m/>
  </r>
  <r>
    <x v="0"/>
    <s v="廣告科"/>
    <s v="二"/>
    <s v="1.2"/>
    <x v="8"/>
    <x v="28"/>
    <x v="20"/>
    <n v="78"/>
    <n v="10920"/>
    <x v="21"/>
    <x v="27"/>
    <x v="26"/>
    <m/>
  </r>
  <r>
    <x v="0"/>
    <s v="商經科"/>
    <s v="二"/>
    <s v="1.2.3.4"/>
    <x v="9"/>
    <x v="29"/>
    <x v="15"/>
    <n v="156"/>
    <n v="35880"/>
    <x v="22"/>
    <x v="9"/>
    <x v="8"/>
    <m/>
  </r>
  <r>
    <x v="0"/>
    <s v="商經科"/>
    <s v="一"/>
    <s v="1.2.3.4"/>
    <x v="9"/>
    <x v="30"/>
    <x v="15"/>
    <n v="159"/>
    <n v="36570"/>
    <x v="23"/>
    <x v="28"/>
    <x v="27"/>
    <m/>
  </r>
  <r>
    <x v="0"/>
    <s v="國貿科"/>
    <s v="一"/>
    <s v="1.2.3.4"/>
    <x v="9"/>
    <x v="30"/>
    <x v="15"/>
    <n v="156"/>
    <n v="35880"/>
    <x v="23"/>
    <x v="28"/>
    <x v="27"/>
    <m/>
  </r>
  <r>
    <x v="0"/>
    <s v="資處科"/>
    <s v="一"/>
    <s v="1.2"/>
    <x v="9"/>
    <x v="30"/>
    <x v="15"/>
    <n v="75"/>
    <n v="17250"/>
    <x v="23"/>
    <x v="28"/>
    <x v="27"/>
    <m/>
  </r>
  <r>
    <x v="0"/>
    <s v="商經科"/>
    <s v="二"/>
    <s v="1.2.3.4"/>
    <x v="9"/>
    <x v="31"/>
    <x v="21"/>
    <n v="156"/>
    <n v="52260"/>
    <x v="24"/>
    <x v="29"/>
    <x v="8"/>
    <m/>
  </r>
  <r>
    <x v="0"/>
    <s v="國貿科"/>
    <s v="二"/>
    <s v="1.2.3.4"/>
    <x v="9"/>
    <x v="31"/>
    <x v="21"/>
    <n v="153"/>
    <n v="51255"/>
    <x v="24"/>
    <x v="29"/>
    <x v="8"/>
    <m/>
  </r>
  <r>
    <x v="0"/>
    <s v="外語科"/>
    <s v="三"/>
    <s v="1.2"/>
    <x v="10"/>
    <x v="32"/>
    <x v="22"/>
    <n v="76"/>
    <n v="11020"/>
    <x v="25"/>
    <x v="9"/>
    <x v="8"/>
    <m/>
  </r>
  <r>
    <x v="0"/>
    <s v="商經科"/>
    <s v="三"/>
    <s v="1.2.3.4"/>
    <x v="10"/>
    <x v="32"/>
    <x v="22"/>
    <n v="144"/>
    <n v="20880"/>
    <x v="25"/>
    <x v="9"/>
    <x v="8"/>
    <m/>
  </r>
  <r>
    <x v="0"/>
    <s v="國貿科"/>
    <s v="三"/>
    <s v="1.2.3.4"/>
    <x v="10"/>
    <x v="32"/>
    <x v="22"/>
    <n v="140"/>
    <n v="20300"/>
    <x v="25"/>
    <x v="9"/>
    <x v="8"/>
    <m/>
  </r>
  <r>
    <x v="0"/>
    <s v="資處科"/>
    <s v="三"/>
    <s v="1.2"/>
    <x v="10"/>
    <x v="32"/>
    <x v="22"/>
    <n v="68"/>
    <n v="9860"/>
    <x v="25"/>
    <x v="9"/>
    <x v="8"/>
    <m/>
  </r>
  <r>
    <x v="0"/>
    <s v="綜合高中"/>
    <s v="三"/>
    <s v="1.2.3.4"/>
    <x v="10"/>
    <x v="32"/>
    <x v="22"/>
    <n v="141"/>
    <n v="20445"/>
    <x v="25"/>
    <x v="9"/>
    <x v="8"/>
    <m/>
  </r>
  <r>
    <x v="0"/>
    <s v="廣告科"/>
    <s v="三"/>
    <s v="1.2"/>
    <x v="10"/>
    <x v="32"/>
    <x v="22"/>
    <n v="71"/>
    <n v="10295"/>
    <x v="25"/>
    <x v="9"/>
    <x v="8"/>
    <m/>
  </r>
  <r>
    <x v="0"/>
    <s v="外語科"/>
    <s v="一"/>
    <s v="1.2"/>
    <x v="11"/>
    <x v="33"/>
    <x v="23"/>
    <n v="78"/>
    <n v="11388"/>
    <x v="26"/>
    <x v="30"/>
    <x v="28"/>
    <m/>
  </r>
  <r>
    <x v="0"/>
    <s v="商經科"/>
    <s v="一"/>
    <s v="1.2.3.4"/>
    <x v="11"/>
    <x v="33"/>
    <x v="23"/>
    <n v="159"/>
    <n v="23214"/>
    <x v="26"/>
    <x v="30"/>
    <x v="28"/>
    <m/>
  </r>
  <r>
    <x v="0"/>
    <s v="國貿科"/>
    <s v="一"/>
    <s v="1.2.3.4"/>
    <x v="11"/>
    <x v="33"/>
    <x v="23"/>
    <n v="156"/>
    <n v="22776"/>
    <x v="26"/>
    <x v="30"/>
    <x v="28"/>
    <m/>
  </r>
  <r>
    <x v="0"/>
    <s v="資處科"/>
    <s v="一"/>
    <s v="1.2"/>
    <x v="11"/>
    <x v="33"/>
    <x v="23"/>
    <n v="75"/>
    <n v="10950"/>
    <x v="26"/>
    <x v="30"/>
    <x v="28"/>
    <m/>
  </r>
  <r>
    <x v="0"/>
    <s v="綜合高中"/>
    <s v="一"/>
    <s v="1.2.3.4"/>
    <x v="11"/>
    <x v="33"/>
    <x v="23"/>
    <n v="154"/>
    <n v="22484"/>
    <x v="26"/>
    <x v="30"/>
    <x v="28"/>
    <m/>
  </r>
  <r>
    <x v="0"/>
    <s v="廣告科"/>
    <s v="一"/>
    <s v="1.2"/>
    <x v="11"/>
    <x v="33"/>
    <x v="23"/>
    <n v="77"/>
    <n v="11242"/>
    <x v="26"/>
    <x v="30"/>
    <x v="28"/>
    <m/>
  </r>
  <r>
    <x v="0"/>
    <s v="外語科"/>
    <s v="一"/>
    <s v="1.2"/>
    <x v="12"/>
    <x v="34"/>
    <x v="24"/>
    <n v="78"/>
    <n v="21684"/>
    <x v="27"/>
    <x v="31"/>
    <x v="29"/>
    <m/>
  </r>
  <r>
    <x v="0"/>
    <s v="商經科"/>
    <s v="一"/>
    <s v="1.2.3.4"/>
    <x v="12"/>
    <x v="34"/>
    <x v="24"/>
    <n v="159"/>
    <n v="44202"/>
    <x v="27"/>
    <x v="31"/>
    <x v="29"/>
    <m/>
  </r>
  <r>
    <x v="0"/>
    <s v="國貿科"/>
    <s v="一"/>
    <s v="1.2.3.4"/>
    <x v="12"/>
    <x v="34"/>
    <x v="24"/>
    <n v="156"/>
    <n v="43368"/>
    <x v="27"/>
    <x v="31"/>
    <x v="29"/>
    <m/>
  </r>
  <r>
    <x v="0"/>
    <s v="資處科"/>
    <s v="一"/>
    <s v="1.2"/>
    <x v="12"/>
    <x v="34"/>
    <x v="24"/>
    <n v="75"/>
    <n v="20850"/>
    <x v="27"/>
    <x v="31"/>
    <x v="29"/>
    <m/>
  </r>
  <r>
    <x v="0"/>
    <s v="外語科"/>
    <s v="二"/>
    <s v="1.2"/>
    <x v="12"/>
    <x v="35"/>
    <x v="24"/>
    <n v="82"/>
    <n v="22796"/>
    <x v="27"/>
    <x v="32"/>
    <x v="30"/>
    <m/>
  </r>
  <r>
    <x v="0"/>
    <s v="商經科"/>
    <s v="二"/>
    <s v="1.2.3.4"/>
    <x v="12"/>
    <x v="35"/>
    <x v="24"/>
    <n v="156"/>
    <n v="43368"/>
    <x v="27"/>
    <x v="32"/>
    <x v="30"/>
    <m/>
  </r>
  <r>
    <x v="0"/>
    <s v="國貿科"/>
    <s v="二"/>
    <s v="1.2.3.4"/>
    <x v="12"/>
    <x v="35"/>
    <x v="24"/>
    <n v="153"/>
    <n v="42534"/>
    <x v="27"/>
    <x v="32"/>
    <x v="30"/>
    <m/>
  </r>
  <r>
    <x v="0"/>
    <s v="資處科"/>
    <s v="二"/>
    <s v="1.2"/>
    <x v="12"/>
    <x v="35"/>
    <x v="24"/>
    <n v="79"/>
    <n v="21962"/>
    <x v="27"/>
    <x v="32"/>
    <x v="30"/>
    <m/>
  </r>
  <r>
    <x v="0"/>
    <s v="綜合高中"/>
    <s v="一"/>
    <s v="1.2.3.4"/>
    <x v="13"/>
    <x v="36"/>
    <x v="25"/>
    <n v="154"/>
    <n v="31724"/>
    <x v="28"/>
    <x v="33"/>
    <x v="31"/>
    <m/>
  </r>
  <r>
    <x v="0"/>
    <s v="綜合高中"/>
    <s v="一"/>
    <s v="1.2.3.4"/>
    <x v="13"/>
    <x v="37"/>
    <x v="26"/>
    <n v="154"/>
    <n v="33110"/>
    <x v="29"/>
    <x v="34"/>
    <x v="32"/>
    <m/>
  </r>
  <r>
    <x v="0"/>
    <s v="綜合高中"/>
    <s v="一"/>
    <s v="1.2.3.4"/>
    <x v="13"/>
    <x v="38"/>
    <x v="27"/>
    <n v="154"/>
    <n v="30030"/>
    <x v="30"/>
    <x v="35"/>
    <x v="33"/>
    <m/>
  </r>
  <r>
    <x v="0"/>
    <s v="綜合高中"/>
    <s v="二"/>
    <s v="1.2.3.4"/>
    <x v="13"/>
    <x v="39"/>
    <x v="28"/>
    <n v="164"/>
    <n v="33128"/>
    <x v="30"/>
    <x v="36"/>
    <x v="34"/>
    <m/>
  </r>
  <r>
    <x v="0"/>
    <s v="外語科"/>
    <s v="二"/>
    <s v="1.2"/>
    <x v="13"/>
    <x v="40"/>
    <x v="29"/>
    <n v="82"/>
    <n v="16318"/>
    <x v="30"/>
    <x v="37"/>
    <x v="35"/>
    <m/>
  </r>
  <r>
    <x v="0"/>
    <s v="商經科"/>
    <s v="二"/>
    <s v="1.2.3.4"/>
    <x v="13"/>
    <x v="40"/>
    <x v="29"/>
    <n v="156"/>
    <n v="31044"/>
    <x v="30"/>
    <x v="37"/>
    <x v="35"/>
    <m/>
  </r>
  <r>
    <x v="0"/>
    <s v="國貿科"/>
    <s v="二"/>
    <s v="1.2.3.4"/>
    <x v="13"/>
    <x v="40"/>
    <x v="29"/>
    <n v="153"/>
    <n v="30447"/>
    <x v="30"/>
    <x v="37"/>
    <x v="35"/>
    <m/>
  </r>
  <r>
    <x v="0"/>
    <s v="資處科"/>
    <s v="二"/>
    <s v="1.2"/>
    <x v="13"/>
    <x v="40"/>
    <x v="29"/>
    <n v="79"/>
    <n v="15721"/>
    <x v="30"/>
    <x v="37"/>
    <x v="35"/>
    <m/>
  </r>
  <r>
    <x v="0"/>
    <s v="廣告科"/>
    <s v="二"/>
    <s v="1.2"/>
    <x v="13"/>
    <x v="40"/>
    <x v="29"/>
    <n v="78"/>
    <n v="15522"/>
    <x v="30"/>
    <x v="37"/>
    <x v="35"/>
    <m/>
  </r>
  <r>
    <x v="0"/>
    <s v="綜合高中"/>
    <s v="一"/>
    <s v="1.2"/>
    <x v="13"/>
    <x v="41"/>
    <x v="0"/>
    <n v="78"/>
    <n v="17004"/>
    <x v="31"/>
    <x v="38"/>
    <x v="36"/>
    <m/>
  </r>
  <r>
    <x v="0"/>
    <s v="綜合高中"/>
    <s v="二"/>
    <s v="1.2.3.4"/>
    <x v="14"/>
    <x v="42"/>
    <x v="3"/>
    <n v="164"/>
    <n v="37392"/>
    <x v="32"/>
    <x v="39"/>
    <x v="37"/>
    <m/>
  </r>
  <r>
    <x v="0"/>
    <s v="綜合高中"/>
    <s v="二"/>
    <s v="1.2"/>
    <x v="14"/>
    <x v="43"/>
    <x v="30"/>
    <n v="60"/>
    <n v="14940"/>
    <x v="33"/>
    <x v="40"/>
    <x v="38"/>
    <m/>
  </r>
  <r>
    <x v="0"/>
    <s v="國貿科"/>
    <s v="一"/>
    <s v="1.2.3.4"/>
    <x v="14"/>
    <x v="44"/>
    <x v="31"/>
    <n v="156"/>
    <n v="41340"/>
    <x v="34"/>
    <x v="9"/>
    <x v="8"/>
    <m/>
  </r>
  <r>
    <x v="0"/>
    <s v="外語科"/>
    <s v="一"/>
    <s v="1.2"/>
    <x v="14"/>
    <x v="45"/>
    <x v="32"/>
    <n v="78"/>
    <n v="14040"/>
    <x v="35"/>
    <x v="41"/>
    <x v="39"/>
    <m/>
  </r>
  <r>
    <x v="0"/>
    <s v="商經科"/>
    <s v="一"/>
    <s v="1.2.3.4"/>
    <x v="14"/>
    <x v="45"/>
    <x v="32"/>
    <n v="159"/>
    <n v="28620"/>
    <x v="35"/>
    <x v="41"/>
    <x v="39"/>
    <m/>
  </r>
  <r>
    <x v="0"/>
    <s v="國貿科"/>
    <s v="一"/>
    <s v="1.2.3.4"/>
    <x v="14"/>
    <x v="45"/>
    <x v="32"/>
    <n v="156"/>
    <n v="28080"/>
    <x v="35"/>
    <x v="41"/>
    <x v="39"/>
    <m/>
  </r>
  <r>
    <x v="0"/>
    <s v="資處科"/>
    <s v="一"/>
    <s v="1.2"/>
    <x v="14"/>
    <x v="45"/>
    <x v="32"/>
    <n v="75"/>
    <n v="13500"/>
    <x v="35"/>
    <x v="41"/>
    <x v="39"/>
    <m/>
  </r>
  <r>
    <x v="0"/>
    <s v="廣告科"/>
    <s v="一"/>
    <s v="1.2"/>
    <x v="14"/>
    <x v="45"/>
    <x v="32"/>
    <n v="77"/>
    <n v="13860"/>
    <x v="35"/>
    <x v="41"/>
    <x v="39"/>
    <m/>
  </r>
  <r>
    <x v="0"/>
    <s v="綜合高中"/>
    <s v="二"/>
    <s v="3.4"/>
    <x v="14"/>
    <x v="46"/>
    <x v="33"/>
    <n v="104"/>
    <n v="26312"/>
    <x v="36"/>
    <x v="42"/>
    <x v="40"/>
    <m/>
  </r>
  <r>
    <x v="0"/>
    <s v="綜合高中"/>
    <s v="三"/>
    <s v="3.4"/>
    <x v="14"/>
    <x v="47"/>
    <x v="34"/>
    <n v="79"/>
    <n v="19039"/>
    <x v="37"/>
    <x v="43"/>
    <x v="41"/>
    <m/>
  </r>
  <r>
    <x v="0"/>
    <s v="綜合高中"/>
    <s v="三"/>
    <s v="1.2"/>
    <x v="14"/>
    <x v="48"/>
    <x v="1"/>
    <n v="62"/>
    <n v="14384"/>
    <x v="33"/>
    <x v="44"/>
    <x v="42"/>
    <m/>
  </r>
  <r>
    <x v="1"/>
    <s v="(進)商經科"/>
    <s v="二"/>
    <s v="1.2.3.4"/>
    <x v="2"/>
    <x v="49"/>
    <x v="35"/>
    <n v="66"/>
    <n v="9900"/>
    <x v="38"/>
    <x v="9"/>
    <x v="8"/>
    <m/>
  </r>
  <r>
    <x v="1"/>
    <s v="(進)國貿科"/>
    <s v="二"/>
    <s v="1"/>
    <x v="2"/>
    <x v="49"/>
    <x v="35"/>
    <n v="20"/>
    <n v="3000"/>
    <x v="38"/>
    <x v="9"/>
    <x v="8"/>
    <m/>
  </r>
  <r>
    <x v="1"/>
    <s v="(進)備用書"/>
    <s v="二"/>
    <s v="1"/>
    <x v="2"/>
    <x v="49"/>
    <x v="35"/>
    <n v="10"/>
    <n v="1500"/>
    <x v="38"/>
    <x v="9"/>
    <x v="8"/>
    <m/>
  </r>
  <r>
    <x v="1"/>
    <s v="(進)商經科"/>
    <s v="一"/>
    <s v="1.2.3"/>
    <x v="2"/>
    <x v="13"/>
    <x v="10"/>
    <n v="61"/>
    <n v="9760"/>
    <x v="39"/>
    <x v="45"/>
    <x v="43"/>
    <m/>
  </r>
  <r>
    <x v="1"/>
    <s v="(進)國貿科"/>
    <s v="一"/>
    <s v="1"/>
    <x v="2"/>
    <x v="13"/>
    <x v="10"/>
    <n v="7"/>
    <n v="1120"/>
    <x v="39"/>
    <x v="45"/>
    <x v="43"/>
    <m/>
  </r>
  <r>
    <x v="1"/>
    <s v="(進)備用書"/>
    <s v="一"/>
    <s v="1"/>
    <x v="2"/>
    <x v="13"/>
    <x v="10"/>
    <n v="10"/>
    <n v="1600"/>
    <x v="39"/>
    <x v="45"/>
    <x v="43"/>
    <m/>
  </r>
  <r>
    <x v="1"/>
    <s v="(進)商經科"/>
    <s v="二"/>
    <s v="1.2.3.4"/>
    <x v="2"/>
    <x v="10"/>
    <x v="10"/>
    <n v="66"/>
    <n v="10560"/>
    <x v="8"/>
    <x v="9"/>
    <x v="8"/>
    <m/>
  </r>
  <r>
    <x v="1"/>
    <s v="(進)國貿科"/>
    <s v="二"/>
    <s v="1"/>
    <x v="2"/>
    <x v="10"/>
    <x v="10"/>
    <n v="20"/>
    <n v="3200"/>
    <x v="8"/>
    <x v="9"/>
    <x v="8"/>
    <m/>
  </r>
  <r>
    <x v="1"/>
    <s v="(進)備用書"/>
    <s v="二"/>
    <s v="1"/>
    <x v="2"/>
    <x v="10"/>
    <x v="10"/>
    <n v="10"/>
    <n v="1600"/>
    <x v="8"/>
    <x v="9"/>
    <x v="8"/>
    <m/>
  </r>
  <r>
    <x v="1"/>
    <s v="(進)商經科"/>
    <s v="一"/>
    <s v="1.2.3"/>
    <x v="4"/>
    <x v="12"/>
    <x v="12"/>
    <n v="61"/>
    <n v="9455"/>
    <x v="10"/>
    <x v="11"/>
    <x v="10"/>
    <m/>
  </r>
  <r>
    <x v="1"/>
    <s v="(進)國貿科"/>
    <s v="一"/>
    <s v="1"/>
    <x v="4"/>
    <x v="12"/>
    <x v="12"/>
    <n v="7"/>
    <n v="1085"/>
    <x v="10"/>
    <x v="11"/>
    <x v="10"/>
    <m/>
  </r>
  <r>
    <x v="1"/>
    <s v="(進)備用書"/>
    <s v="一"/>
    <s v="1"/>
    <x v="4"/>
    <x v="12"/>
    <x v="12"/>
    <n v="10"/>
    <n v="1550"/>
    <x v="10"/>
    <x v="11"/>
    <x v="10"/>
    <m/>
  </r>
  <r>
    <x v="1"/>
    <s v="(進)商經科"/>
    <s v="一"/>
    <s v="1.2.3"/>
    <x v="5"/>
    <x v="50"/>
    <x v="10"/>
    <n v="61"/>
    <n v="9760"/>
    <x v="40"/>
    <x v="46"/>
    <x v="44"/>
    <m/>
  </r>
  <r>
    <x v="1"/>
    <s v="(進)國貿科"/>
    <s v="一"/>
    <s v="1"/>
    <x v="5"/>
    <x v="50"/>
    <x v="10"/>
    <n v="7"/>
    <n v="1120"/>
    <x v="40"/>
    <x v="46"/>
    <x v="44"/>
    <m/>
  </r>
  <r>
    <x v="1"/>
    <s v="(進)備用書"/>
    <s v="一"/>
    <s v="1"/>
    <x v="5"/>
    <x v="50"/>
    <x v="10"/>
    <n v="10"/>
    <n v="1600"/>
    <x v="40"/>
    <x v="46"/>
    <x v="44"/>
    <m/>
  </r>
  <r>
    <x v="1"/>
    <s v="(進)商經科"/>
    <s v="一"/>
    <s v="1.2.3"/>
    <x v="5"/>
    <x v="18"/>
    <x v="14"/>
    <n v="61"/>
    <n v="14640"/>
    <x v="13"/>
    <x v="17"/>
    <x v="16"/>
    <m/>
  </r>
  <r>
    <x v="1"/>
    <s v="(進)國貿科"/>
    <s v="一"/>
    <s v="1"/>
    <x v="5"/>
    <x v="18"/>
    <x v="14"/>
    <n v="7"/>
    <n v="1680"/>
    <x v="13"/>
    <x v="17"/>
    <x v="16"/>
    <m/>
  </r>
  <r>
    <x v="1"/>
    <s v="(進)備用書"/>
    <s v="一"/>
    <s v="1"/>
    <x v="5"/>
    <x v="18"/>
    <x v="14"/>
    <n v="10"/>
    <n v="2400"/>
    <x v="13"/>
    <x v="17"/>
    <x v="16"/>
    <m/>
  </r>
  <r>
    <x v="1"/>
    <s v="(進)商經科"/>
    <s v="一"/>
    <s v="1.2.3"/>
    <x v="5"/>
    <x v="51"/>
    <x v="7"/>
    <n v="61"/>
    <n v="12810"/>
    <x v="41"/>
    <x v="47"/>
    <x v="45"/>
    <m/>
  </r>
  <r>
    <x v="1"/>
    <s v="(進)備用書"/>
    <s v="一"/>
    <s v="1"/>
    <x v="5"/>
    <x v="51"/>
    <x v="7"/>
    <n v="10"/>
    <n v="2100"/>
    <x v="41"/>
    <x v="47"/>
    <x v="45"/>
    <m/>
  </r>
  <r>
    <x v="1"/>
    <s v="(進)國貿科"/>
    <s v="三"/>
    <s v="1"/>
    <x v="5"/>
    <x v="51"/>
    <x v="7"/>
    <n v="27"/>
    <n v="5670"/>
    <x v="41"/>
    <x v="47"/>
    <x v="45"/>
    <m/>
  </r>
  <r>
    <x v="1"/>
    <s v="(進)商經科"/>
    <s v="一"/>
    <s v="1.2.3"/>
    <x v="6"/>
    <x v="19"/>
    <x v="9"/>
    <n v="61"/>
    <n v="12200"/>
    <x v="14"/>
    <x v="18"/>
    <x v="17"/>
    <m/>
  </r>
  <r>
    <x v="1"/>
    <s v="(進)國貿科"/>
    <s v="一"/>
    <s v="1"/>
    <x v="6"/>
    <x v="19"/>
    <x v="9"/>
    <n v="7"/>
    <n v="1400"/>
    <x v="14"/>
    <x v="18"/>
    <x v="17"/>
    <m/>
  </r>
  <r>
    <x v="1"/>
    <s v="(進)備用書"/>
    <s v="一"/>
    <s v="1"/>
    <x v="6"/>
    <x v="19"/>
    <x v="9"/>
    <n v="10"/>
    <n v="2000"/>
    <x v="14"/>
    <x v="18"/>
    <x v="17"/>
    <m/>
  </r>
  <r>
    <x v="1"/>
    <s v="(進)商經科"/>
    <s v="一"/>
    <s v="1.2.3"/>
    <x v="9"/>
    <x v="20"/>
    <x v="15"/>
    <n v="61"/>
    <n v="14030"/>
    <x v="42"/>
    <x v="48"/>
    <x v="46"/>
    <m/>
  </r>
  <r>
    <x v="1"/>
    <s v="(進)國貿科"/>
    <s v="一"/>
    <s v="1"/>
    <x v="9"/>
    <x v="20"/>
    <x v="15"/>
    <n v="7"/>
    <n v="1610"/>
    <x v="42"/>
    <x v="48"/>
    <x v="46"/>
    <m/>
  </r>
  <r>
    <x v="1"/>
    <s v="(進)備用書"/>
    <s v="一"/>
    <s v="1"/>
    <x v="9"/>
    <x v="20"/>
    <x v="15"/>
    <n v="10"/>
    <n v="2300"/>
    <x v="42"/>
    <x v="48"/>
    <x v="46"/>
    <m/>
  </r>
  <r>
    <x v="1"/>
    <s v="(進)商經科"/>
    <s v="二"/>
    <s v="1.2.3.4"/>
    <x v="9"/>
    <x v="52"/>
    <x v="15"/>
    <n v="66"/>
    <n v="15180"/>
    <x v="43"/>
    <x v="49"/>
    <x v="47"/>
    <m/>
  </r>
  <r>
    <x v="1"/>
    <s v="(進)國貿科"/>
    <s v="二"/>
    <s v="1"/>
    <x v="9"/>
    <x v="52"/>
    <x v="15"/>
    <n v="20"/>
    <n v="4600"/>
    <x v="43"/>
    <x v="49"/>
    <x v="47"/>
    <m/>
  </r>
  <r>
    <x v="1"/>
    <s v="(進)備用書"/>
    <s v="二"/>
    <s v="1"/>
    <x v="9"/>
    <x v="52"/>
    <x v="15"/>
    <n v="10"/>
    <n v="2300"/>
    <x v="43"/>
    <x v="49"/>
    <x v="47"/>
    <m/>
  </r>
  <r>
    <x v="1"/>
    <s v="(進)商經科"/>
    <s v="三"/>
    <s v="1.2.3"/>
    <x v="10"/>
    <x v="32"/>
    <x v="22"/>
    <n v="83"/>
    <n v="12035"/>
    <x v="25"/>
    <x v="9"/>
    <x v="8"/>
    <m/>
  </r>
  <r>
    <x v="1"/>
    <s v="(進)國貿科"/>
    <s v="三"/>
    <s v="1"/>
    <x v="10"/>
    <x v="32"/>
    <x v="22"/>
    <n v="27"/>
    <n v="3915"/>
    <x v="25"/>
    <x v="9"/>
    <x v="8"/>
    <m/>
  </r>
  <r>
    <x v="1"/>
    <s v="(進)商經科"/>
    <s v="一"/>
    <s v="1.2.3"/>
    <x v="12"/>
    <x v="34"/>
    <x v="24"/>
    <n v="61"/>
    <n v="16958"/>
    <x v="27"/>
    <x v="31"/>
    <x v="29"/>
    <m/>
  </r>
  <r>
    <x v="1"/>
    <s v="(進)國貿科"/>
    <s v="一"/>
    <s v="1"/>
    <x v="12"/>
    <x v="34"/>
    <x v="24"/>
    <n v="7"/>
    <n v="1946"/>
    <x v="27"/>
    <x v="31"/>
    <x v="29"/>
    <m/>
  </r>
  <r>
    <x v="1"/>
    <s v="(進)備用書"/>
    <s v="一"/>
    <s v="1"/>
    <x v="12"/>
    <x v="34"/>
    <x v="24"/>
    <n v="10"/>
    <n v="2780"/>
    <x v="27"/>
    <x v="31"/>
    <x v="29"/>
    <m/>
  </r>
  <r>
    <x v="1"/>
    <s v="(進)商經科"/>
    <s v="二"/>
    <s v="1.2.3.4"/>
    <x v="12"/>
    <x v="35"/>
    <x v="24"/>
    <n v="66"/>
    <n v="18348"/>
    <x v="27"/>
    <x v="32"/>
    <x v="30"/>
    <m/>
  </r>
  <r>
    <x v="1"/>
    <s v="(進)國貿科"/>
    <s v="二"/>
    <s v="1"/>
    <x v="12"/>
    <x v="35"/>
    <x v="24"/>
    <n v="20"/>
    <n v="5560"/>
    <x v="27"/>
    <x v="32"/>
    <x v="30"/>
    <m/>
  </r>
  <r>
    <x v="1"/>
    <s v="(進)備用書"/>
    <s v="二"/>
    <s v="1"/>
    <x v="12"/>
    <x v="35"/>
    <x v="24"/>
    <n v="10"/>
    <n v="2780"/>
    <x v="27"/>
    <x v="32"/>
    <x v="30"/>
    <m/>
  </r>
  <r>
    <x v="1"/>
    <s v="(進)商經科"/>
    <s v="二"/>
    <s v="1.2.3.4"/>
    <x v="12"/>
    <x v="21"/>
    <x v="36"/>
    <n v="66"/>
    <n v="18480"/>
    <x v="44"/>
    <x v="50"/>
    <x v="48"/>
    <m/>
  </r>
  <r>
    <x v="1"/>
    <s v="(進)國貿科"/>
    <s v="二"/>
    <s v="1"/>
    <x v="12"/>
    <x v="21"/>
    <x v="36"/>
    <n v="20"/>
    <n v="5600"/>
    <x v="44"/>
    <x v="50"/>
    <x v="48"/>
    <m/>
  </r>
  <r>
    <x v="1"/>
    <s v="(進)備用書"/>
    <s v="二"/>
    <s v="1"/>
    <x v="12"/>
    <x v="21"/>
    <x v="36"/>
    <n v="10"/>
    <n v="2800"/>
    <x v="44"/>
    <x v="50"/>
    <x v="48"/>
    <m/>
  </r>
  <r>
    <x v="1"/>
    <s v="(進)商經科"/>
    <s v="三"/>
    <s v="1.2.3"/>
    <x v="14"/>
    <x v="53"/>
    <x v="37"/>
    <n v="83"/>
    <n v="19339"/>
    <x v="45"/>
    <x v="51"/>
    <x v="49"/>
    <m/>
  </r>
  <r>
    <x v="1"/>
    <s v="(進)國貿科"/>
    <s v="三"/>
    <s v="1"/>
    <x v="14"/>
    <x v="53"/>
    <x v="37"/>
    <n v="27"/>
    <n v="6291"/>
    <x v="45"/>
    <x v="51"/>
    <x v="49"/>
    <m/>
  </r>
  <r>
    <x v="1"/>
    <s v="(進)商經科"/>
    <s v="二"/>
    <s v="1.2.3.4"/>
    <x v="14"/>
    <x v="54"/>
    <x v="0"/>
    <n v="66"/>
    <n v="14388"/>
    <x v="46"/>
    <x v="52"/>
    <x v="50"/>
    <m/>
  </r>
  <r>
    <x v="1"/>
    <s v="(進)國貿科"/>
    <s v="二"/>
    <s v="1"/>
    <x v="14"/>
    <x v="54"/>
    <x v="0"/>
    <n v="20"/>
    <n v="4360"/>
    <x v="46"/>
    <x v="52"/>
    <x v="50"/>
    <m/>
  </r>
  <r>
    <x v="1"/>
    <s v="(進)備用書"/>
    <s v="二"/>
    <s v="1"/>
    <x v="14"/>
    <x v="54"/>
    <x v="0"/>
    <n v="10"/>
    <n v="2180"/>
    <x v="46"/>
    <x v="52"/>
    <x v="50"/>
    <m/>
  </r>
  <r>
    <x v="1"/>
    <s v="(進)商經科"/>
    <s v="三"/>
    <s v="1.2.3"/>
    <x v="14"/>
    <x v="55"/>
    <x v="38"/>
    <n v="83"/>
    <n v="17015"/>
    <x v="47"/>
    <x v="53"/>
    <x v="51"/>
    <m/>
  </r>
  <r>
    <x v="1"/>
    <s v="(進)國貿科"/>
    <s v="三"/>
    <s v="1"/>
    <x v="14"/>
    <x v="55"/>
    <x v="38"/>
    <n v="27"/>
    <n v="5535"/>
    <x v="47"/>
    <x v="53"/>
    <x v="51"/>
    <m/>
  </r>
  <r>
    <x v="1"/>
    <s v="(進)商經科"/>
    <s v="二"/>
    <s v="1.2.3.4"/>
    <x v="14"/>
    <x v="40"/>
    <x v="38"/>
    <n v="66"/>
    <n v="13530"/>
    <x v="47"/>
    <x v="54"/>
    <x v="52"/>
    <m/>
  </r>
  <r>
    <x v="1"/>
    <s v="(進)國貿科"/>
    <s v="二"/>
    <s v="1"/>
    <x v="14"/>
    <x v="40"/>
    <x v="38"/>
    <n v="20"/>
    <n v="4100"/>
    <x v="47"/>
    <x v="54"/>
    <x v="52"/>
    <m/>
  </r>
  <r>
    <x v="1"/>
    <s v="(進)備用書"/>
    <s v="二"/>
    <s v="1"/>
    <x v="14"/>
    <x v="40"/>
    <x v="38"/>
    <n v="10"/>
    <n v="2050"/>
    <x v="47"/>
    <x v="54"/>
    <x v="52"/>
    <m/>
  </r>
  <r>
    <x v="1"/>
    <s v="(進)商經科"/>
    <s v="一"/>
    <s v="1.2.3"/>
    <x v="14"/>
    <x v="56"/>
    <x v="39"/>
    <n v="61"/>
    <n v="11407"/>
    <x v="48"/>
    <x v="55"/>
    <x v="53"/>
    <m/>
  </r>
  <r>
    <x v="1"/>
    <s v="(進)國貿科"/>
    <s v="一"/>
    <s v="1"/>
    <x v="14"/>
    <x v="56"/>
    <x v="39"/>
    <n v="7"/>
    <n v="1309"/>
    <x v="48"/>
    <x v="55"/>
    <x v="53"/>
    <m/>
  </r>
  <r>
    <x v="1"/>
    <s v="(進)備用書"/>
    <s v="一"/>
    <s v="1"/>
    <x v="14"/>
    <x v="56"/>
    <x v="39"/>
    <n v="10"/>
    <n v="1870"/>
    <x v="48"/>
    <x v="55"/>
    <x v="53"/>
    <m/>
  </r>
  <r>
    <x v="1"/>
    <s v="(進)國貿科"/>
    <s v="一"/>
    <s v="1"/>
    <x v="14"/>
    <x v="57"/>
    <x v="40"/>
    <n v="7"/>
    <n v="1995"/>
    <x v="34"/>
    <x v="9"/>
    <x v="8"/>
    <m/>
  </r>
  <r>
    <x v="1"/>
    <s v="(進)備用書"/>
    <s v="一"/>
    <s v="2"/>
    <x v="14"/>
    <x v="57"/>
    <x v="40"/>
    <n v="5"/>
    <n v="1425"/>
    <x v="34"/>
    <x v="9"/>
    <x v="8"/>
    <m/>
  </r>
  <r>
    <x v="1"/>
    <s v="(進)國貿科"/>
    <s v="二"/>
    <s v="1"/>
    <x v="14"/>
    <x v="58"/>
    <x v="41"/>
    <n v="20"/>
    <n v="5080"/>
    <x v="34"/>
    <x v="9"/>
    <x v="8"/>
    <m/>
  </r>
  <r>
    <x v="1"/>
    <s v="(進)備用書"/>
    <s v="二"/>
    <s v="2"/>
    <x v="14"/>
    <x v="58"/>
    <x v="41"/>
    <n v="5"/>
    <n v="1270"/>
    <x v="34"/>
    <x v="9"/>
    <x v="8"/>
    <m/>
  </r>
  <r>
    <x v="1"/>
    <s v="(進)商經科"/>
    <s v="二"/>
    <s v="1.2.3.4"/>
    <x v="14"/>
    <x v="59"/>
    <x v="39"/>
    <n v="66"/>
    <n v="12342"/>
    <x v="48"/>
    <x v="56"/>
    <x v="54"/>
    <m/>
  </r>
  <r>
    <x v="1"/>
    <s v="(進)國貿科"/>
    <s v="二"/>
    <s v="1"/>
    <x v="14"/>
    <x v="59"/>
    <x v="39"/>
    <n v="20"/>
    <n v="3740"/>
    <x v="48"/>
    <x v="56"/>
    <x v="54"/>
    <m/>
  </r>
  <r>
    <x v="1"/>
    <s v="(進)備用書"/>
    <s v="二"/>
    <s v="1"/>
    <x v="14"/>
    <x v="59"/>
    <x v="39"/>
    <n v="10"/>
    <n v="1870"/>
    <x v="48"/>
    <x v="56"/>
    <x v="5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3">
  <r>
    <x v="0"/>
    <x v="0"/>
    <x v="0"/>
    <x v="0"/>
    <x v="0"/>
    <x v="0"/>
    <n v="39"/>
    <n v="9048"/>
    <x v="0"/>
    <x v="0"/>
    <x v="0"/>
  </r>
  <r>
    <x v="0"/>
    <x v="1"/>
    <x v="0"/>
    <x v="0"/>
    <x v="0"/>
    <x v="0"/>
    <n v="39"/>
    <n v="9048"/>
    <x v="0"/>
    <x v="0"/>
    <x v="0"/>
  </r>
  <r>
    <x v="0"/>
    <x v="2"/>
    <x v="0"/>
    <x v="0"/>
    <x v="0"/>
    <x v="0"/>
    <n v="38"/>
    <n v="8816"/>
    <x v="0"/>
    <x v="0"/>
    <x v="0"/>
  </r>
  <r>
    <x v="0"/>
    <x v="3"/>
    <x v="0"/>
    <x v="0"/>
    <x v="0"/>
    <x v="0"/>
    <n v="38"/>
    <n v="8816"/>
    <x v="0"/>
    <x v="0"/>
    <x v="0"/>
  </r>
  <r>
    <x v="0"/>
    <x v="4"/>
    <x v="0"/>
    <x v="0"/>
    <x v="0"/>
    <x v="0"/>
    <n v="39"/>
    <n v="9048"/>
    <x v="0"/>
    <x v="0"/>
    <x v="0"/>
  </r>
  <r>
    <x v="0"/>
    <x v="5"/>
    <x v="0"/>
    <x v="0"/>
    <x v="0"/>
    <x v="0"/>
    <n v="39"/>
    <n v="9048"/>
    <x v="0"/>
    <x v="0"/>
    <x v="0"/>
  </r>
  <r>
    <x v="0"/>
    <x v="0"/>
    <x v="0"/>
    <x v="0"/>
    <x v="1"/>
    <x v="1"/>
    <n v="39"/>
    <n v="8892"/>
    <x v="1"/>
    <x v="1"/>
    <x v="1"/>
  </r>
  <r>
    <x v="0"/>
    <x v="1"/>
    <x v="0"/>
    <x v="0"/>
    <x v="1"/>
    <x v="1"/>
    <n v="39"/>
    <n v="8892"/>
    <x v="1"/>
    <x v="1"/>
    <x v="1"/>
  </r>
  <r>
    <x v="0"/>
    <x v="2"/>
    <x v="0"/>
    <x v="0"/>
    <x v="1"/>
    <x v="1"/>
    <n v="38"/>
    <n v="8664"/>
    <x v="1"/>
    <x v="1"/>
    <x v="1"/>
  </r>
  <r>
    <x v="0"/>
    <x v="3"/>
    <x v="0"/>
    <x v="0"/>
    <x v="1"/>
    <x v="1"/>
    <n v="38"/>
    <n v="8664"/>
    <x v="1"/>
    <x v="1"/>
    <x v="1"/>
  </r>
  <r>
    <x v="0"/>
    <x v="6"/>
    <x v="0"/>
    <x v="1"/>
    <x v="2"/>
    <x v="2"/>
    <n v="39"/>
    <n v="12909"/>
    <x v="2"/>
    <x v="2"/>
    <x v="2"/>
  </r>
  <r>
    <x v="0"/>
    <x v="7"/>
    <x v="0"/>
    <x v="1"/>
    <x v="2"/>
    <x v="2"/>
    <n v="38"/>
    <n v="12578"/>
    <x v="2"/>
    <x v="2"/>
    <x v="2"/>
  </r>
  <r>
    <x v="0"/>
    <x v="8"/>
    <x v="0"/>
    <x v="1"/>
    <x v="3"/>
    <x v="3"/>
    <n v="40"/>
    <n v="8000"/>
    <x v="3"/>
    <x v="3"/>
    <x v="3"/>
  </r>
  <r>
    <x v="0"/>
    <x v="9"/>
    <x v="0"/>
    <x v="1"/>
    <x v="3"/>
    <x v="3"/>
    <n v="40"/>
    <n v="8000"/>
    <x v="3"/>
    <x v="3"/>
    <x v="3"/>
  </r>
  <r>
    <x v="0"/>
    <x v="10"/>
    <x v="0"/>
    <x v="1"/>
    <x v="3"/>
    <x v="3"/>
    <n v="40"/>
    <n v="8000"/>
    <x v="3"/>
    <x v="3"/>
    <x v="3"/>
  </r>
  <r>
    <x v="0"/>
    <x v="11"/>
    <x v="0"/>
    <x v="1"/>
    <x v="3"/>
    <x v="3"/>
    <n v="39"/>
    <n v="7800"/>
    <x v="3"/>
    <x v="3"/>
    <x v="3"/>
  </r>
  <r>
    <x v="1"/>
    <x v="12"/>
    <x v="0"/>
    <x v="2"/>
    <x v="4"/>
    <x v="4"/>
    <n v="20"/>
    <n v="3200"/>
    <x v="4"/>
    <x v="4"/>
    <x v="4"/>
  </r>
  <r>
    <x v="1"/>
    <x v="13"/>
    <x v="0"/>
    <x v="2"/>
    <x v="4"/>
    <x v="4"/>
    <n v="21"/>
    <n v="3360"/>
    <x v="4"/>
    <x v="4"/>
    <x v="4"/>
  </r>
  <r>
    <x v="1"/>
    <x v="14"/>
    <x v="0"/>
    <x v="2"/>
    <x v="4"/>
    <x v="4"/>
    <n v="20"/>
    <n v="3200"/>
    <x v="4"/>
    <x v="4"/>
    <x v="4"/>
  </r>
  <r>
    <x v="1"/>
    <x v="15"/>
    <x v="0"/>
    <x v="2"/>
    <x v="4"/>
    <x v="4"/>
    <n v="7"/>
    <n v="1120"/>
    <x v="4"/>
    <x v="4"/>
    <x v="4"/>
  </r>
  <r>
    <x v="1"/>
    <x v="16"/>
    <x v="0"/>
    <x v="2"/>
    <x v="4"/>
    <x v="4"/>
    <n v="10"/>
    <n v="1600"/>
    <x v="4"/>
    <x v="4"/>
    <x v="4"/>
  </r>
  <r>
    <x v="0"/>
    <x v="0"/>
    <x v="0"/>
    <x v="3"/>
    <x v="5"/>
    <x v="5"/>
    <n v="39"/>
    <n v="10218"/>
    <x v="5"/>
    <x v="5"/>
    <x v="5"/>
  </r>
  <r>
    <x v="0"/>
    <x v="1"/>
    <x v="0"/>
    <x v="3"/>
    <x v="5"/>
    <x v="5"/>
    <n v="39"/>
    <n v="10218"/>
    <x v="5"/>
    <x v="5"/>
    <x v="5"/>
  </r>
  <r>
    <x v="0"/>
    <x v="2"/>
    <x v="0"/>
    <x v="3"/>
    <x v="5"/>
    <x v="5"/>
    <n v="38"/>
    <n v="9956"/>
    <x v="5"/>
    <x v="5"/>
    <x v="5"/>
  </r>
  <r>
    <x v="0"/>
    <x v="3"/>
    <x v="0"/>
    <x v="3"/>
    <x v="5"/>
    <x v="5"/>
    <n v="38"/>
    <n v="9956"/>
    <x v="5"/>
    <x v="5"/>
    <x v="5"/>
  </r>
  <r>
    <x v="0"/>
    <x v="0"/>
    <x v="0"/>
    <x v="4"/>
    <x v="6"/>
    <x v="6"/>
    <n v="39"/>
    <n v="6045"/>
    <x v="6"/>
    <x v="6"/>
    <x v="6"/>
  </r>
  <r>
    <x v="0"/>
    <x v="1"/>
    <x v="0"/>
    <x v="4"/>
    <x v="6"/>
    <x v="6"/>
    <n v="39"/>
    <n v="6045"/>
    <x v="6"/>
    <x v="6"/>
    <x v="6"/>
  </r>
  <r>
    <x v="0"/>
    <x v="2"/>
    <x v="0"/>
    <x v="4"/>
    <x v="6"/>
    <x v="6"/>
    <n v="38"/>
    <n v="5890"/>
    <x v="6"/>
    <x v="6"/>
    <x v="6"/>
  </r>
  <r>
    <x v="0"/>
    <x v="3"/>
    <x v="0"/>
    <x v="4"/>
    <x v="6"/>
    <x v="6"/>
    <n v="38"/>
    <n v="5890"/>
    <x v="6"/>
    <x v="6"/>
    <x v="6"/>
  </r>
  <r>
    <x v="0"/>
    <x v="8"/>
    <x v="0"/>
    <x v="4"/>
    <x v="6"/>
    <x v="6"/>
    <n v="40"/>
    <n v="6200"/>
    <x v="6"/>
    <x v="6"/>
    <x v="6"/>
  </r>
  <r>
    <x v="0"/>
    <x v="9"/>
    <x v="0"/>
    <x v="4"/>
    <x v="6"/>
    <x v="6"/>
    <n v="40"/>
    <n v="6200"/>
    <x v="6"/>
    <x v="6"/>
    <x v="6"/>
  </r>
  <r>
    <x v="0"/>
    <x v="10"/>
    <x v="0"/>
    <x v="4"/>
    <x v="6"/>
    <x v="6"/>
    <n v="40"/>
    <n v="6200"/>
    <x v="6"/>
    <x v="6"/>
    <x v="6"/>
  </r>
  <r>
    <x v="0"/>
    <x v="11"/>
    <x v="0"/>
    <x v="4"/>
    <x v="6"/>
    <x v="6"/>
    <n v="39"/>
    <n v="6045"/>
    <x v="6"/>
    <x v="6"/>
    <x v="6"/>
  </r>
  <r>
    <x v="0"/>
    <x v="17"/>
    <x v="0"/>
    <x v="4"/>
    <x v="6"/>
    <x v="6"/>
    <n v="39"/>
    <n v="6045"/>
    <x v="6"/>
    <x v="6"/>
    <x v="6"/>
  </r>
  <r>
    <x v="0"/>
    <x v="18"/>
    <x v="0"/>
    <x v="4"/>
    <x v="6"/>
    <x v="6"/>
    <n v="39"/>
    <n v="6045"/>
    <x v="6"/>
    <x v="6"/>
    <x v="6"/>
  </r>
  <r>
    <x v="0"/>
    <x v="19"/>
    <x v="0"/>
    <x v="4"/>
    <x v="6"/>
    <x v="6"/>
    <n v="39"/>
    <n v="6045"/>
    <x v="6"/>
    <x v="6"/>
    <x v="6"/>
  </r>
  <r>
    <x v="0"/>
    <x v="20"/>
    <x v="0"/>
    <x v="4"/>
    <x v="6"/>
    <x v="6"/>
    <n v="39"/>
    <n v="6045"/>
    <x v="6"/>
    <x v="6"/>
    <x v="6"/>
  </r>
  <r>
    <x v="0"/>
    <x v="21"/>
    <x v="0"/>
    <x v="4"/>
    <x v="6"/>
    <x v="6"/>
    <n v="38"/>
    <n v="5890"/>
    <x v="6"/>
    <x v="6"/>
    <x v="6"/>
  </r>
  <r>
    <x v="0"/>
    <x v="22"/>
    <x v="0"/>
    <x v="4"/>
    <x v="6"/>
    <x v="6"/>
    <n v="37"/>
    <n v="5735"/>
    <x v="6"/>
    <x v="6"/>
    <x v="6"/>
  </r>
  <r>
    <x v="0"/>
    <x v="6"/>
    <x v="0"/>
    <x v="4"/>
    <x v="6"/>
    <x v="6"/>
    <n v="39"/>
    <n v="6045"/>
    <x v="6"/>
    <x v="6"/>
    <x v="6"/>
  </r>
  <r>
    <x v="0"/>
    <x v="7"/>
    <x v="0"/>
    <x v="4"/>
    <x v="6"/>
    <x v="6"/>
    <n v="38"/>
    <n v="5890"/>
    <x v="6"/>
    <x v="6"/>
    <x v="6"/>
  </r>
  <r>
    <x v="0"/>
    <x v="4"/>
    <x v="0"/>
    <x v="4"/>
    <x v="6"/>
    <x v="6"/>
    <n v="39"/>
    <n v="6045"/>
    <x v="6"/>
    <x v="6"/>
    <x v="6"/>
  </r>
  <r>
    <x v="0"/>
    <x v="5"/>
    <x v="0"/>
    <x v="4"/>
    <x v="6"/>
    <x v="6"/>
    <n v="39"/>
    <n v="6045"/>
    <x v="6"/>
    <x v="6"/>
    <x v="6"/>
  </r>
  <r>
    <x v="1"/>
    <x v="12"/>
    <x v="0"/>
    <x v="4"/>
    <x v="6"/>
    <x v="6"/>
    <n v="20"/>
    <n v="3100"/>
    <x v="6"/>
    <x v="6"/>
    <x v="6"/>
  </r>
  <r>
    <x v="1"/>
    <x v="13"/>
    <x v="0"/>
    <x v="4"/>
    <x v="6"/>
    <x v="6"/>
    <n v="21"/>
    <n v="3255"/>
    <x v="6"/>
    <x v="6"/>
    <x v="6"/>
  </r>
  <r>
    <x v="1"/>
    <x v="14"/>
    <x v="0"/>
    <x v="4"/>
    <x v="6"/>
    <x v="6"/>
    <n v="20"/>
    <n v="3100"/>
    <x v="6"/>
    <x v="6"/>
    <x v="6"/>
  </r>
  <r>
    <x v="1"/>
    <x v="15"/>
    <x v="0"/>
    <x v="4"/>
    <x v="6"/>
    <x v="6"/>
    <n v="7"/>
    <n v="1085"/>
    <x v="6"/>
    <x v="6"/>
    <x v="6"/>
  </r>
  <r>
    <x v="1"/>
    <x v="16"/>
    <x v="0"/>
    <x v="4"/>
    <x v="6"/>
    <x v="6"/>
    <n v="10"/>
    <n v="1550"/>
    <x v="6"/>
    <x v="6"/>
    <x v="6"/>
  </r>
  <r>
    <x v="0"/>
    <x v="0"/>
    <x v="0"/>
    <x v="4"/>
    <x v="4"/>
    <x v="7"/>
    <n v="39"/>
    <n v="6552"/>
    <x v="7"/>
    <x v="7"/>
    <x v="7"/>
  </r>
  <r>
    <x v="0"/>
    <x v="1"/>
    <x v="0"/>
    <x v="4"/>
    <x v="4"/>
    <x v="7"/>
    <n v="39"/>
    <n v="6552"/>
    <x v="7"/>
    <x v="7"/>
    <x v="7"/>
  </r>
  <r>
    <x v="0"/>
    <x v="2"/>
    <x v="0"/>
    <x v="4"/>
    <x v="4"/>
    <x v="7"/>
    <n v="38"/>
    <n v="6384"/>
    <x v="7"/>
    <x v="7"/>
    <x v="7"/>
  </r>
  <r>
    <x v="0"/>
    <x v="3"/>
    <x v="0"/>
    <x v="4"/>
    <x v="4"/>
    <x v="7"/>
    <n v="38"/>
    <n v="6384"/>
    <x v="7"/>
    <x v="7"/>
    <x v="7"/>
  </r>
  <r>
    <x v="0"/>
    <x v="8"/>
    <x v="0"/>
    <x v="4"/>
    <x v="4"/>
    <x v="7"/>
    <n v="40"/>
    <n v="6720"/>
    <x v="7"/>
    <x v="7"/>
    <x v="7"/>
  </r>
  <r>
    <x v="0"/>
    <x v="9"/>
    <x v="0"/>
    <x v="4"/>
    <x v="4"/>
    <x v="7"/>
    <n v="40"/>
    <n v="6720"/>
    <x v="7"/>
    <x v="7"/>
    <x v="7"/>
  </r>
  <r>
    <x v="0"/>
    <x v="10"/>
    <x v="0"/>
    <x v="4"/>
    <x v="4"/>
    <x v="7"/>
    <n v="40"/>
    <n v="6720"/>
    <x v="7"/>
    <x v="7"/>
    <x v="7"/>
  </r>
  <r>
    <x v="0"/>
    <x v="11"/>
    <x v="0"/>
    <x v="4"/>
    <x v="4"/>
    <x v="7"/>
    <n v="39"/>
    <n v="6552"/>
    <x v="7"/>
    <x v="7"/>
    <x v="7"/>
  </r>
  <r>
    <x v="0"/>
    <x v="17"/>
    <x v="0"/>
    <x v="4"/>
    <x v="4"/>
    <x v="7"/>
    <n v="39"/>
    <n v="6552"/>
    <x v="7"/>
    <x v="7"/>
    <x v="7"/>
  </r>
  <r>
    <x v="0"/>
    <x v="18"/>
    <x v="0"/>
    <x v="4"/>
    <x v="4"/>
    <x v="7"/>
    <n v="39"/>
    <n v="6552"/>
    <x v="7"/>
    <x v="7"/>
    <x v="7"/>
  </r>
  <r>
    <x v="0"/>
    <x v="19"/>
    <x v="0"/>
    <x v="4"/>
    <x v="4"/>
    <x v="7"/>
    <n v="39"/>
    <n v="6552"/>
    <x v="7"/>
    <x v="7"/>
    <x v="7"/>
  </r>
  <r>
    <x v="0"/>
    <x v="20"/>
    <x v="0"/>
    <x v="4"/>
    <x v="4"/>
    <x v="7"/>
    <n v="39"/>
    <n v="6552"/>
    <x v="7"/>
    <x v="7"/>
    <x v="7"/>
  </r>
  <r>
    <x v="0"/>
    <x v="21"/>
    <x v="0"/>
    <x v="4"/>
    <x v="4"/>
    <x v="7"/>
    <n v="38"/>
    <n v="6384"/>
    <x v="7"/>
    <x v="7"/>
    <x v="7"/>
  </r>
  <r>
    <x v="0"/>
    <x v="22"/>
    <x v="0"/>
    <x v="4"/>
    <x v="4"/>
    <x v="7"/>
    <n v="37"/>
    <n v="6216"/>
    <x v="7"/>
    <x v="7"/>
    <x v="7"/>
  </r>
  <r>
    <x v="0"/>
    <x v="6"/>
    <x v="0"/>
    <x v="4"/>
    <x v="4"/>
    <x v="7"/>
    <n v="39"/>
    <n v="6552"/>
    <x v="7"/>
    <x v="7"/>
    <x v="7"/>
  </r>
  <r>
    <x v="0"/>
    <x v="7"/>
    <x v="0"/>
    <x v="4"/>
    <x v="4"/>
    <x v="7"/>
    <n v="38"/>
    <n v="6384"/>
    <x v="7"/>
    <x v="7"/>
    <x v="7"/>
  </r>
  <r>
    <x v="0"/>
    <x v="4"/>
    <x v="0"/>
    <x v="4"/>
    <x v="4"/>
    <x v="7"/>
    <n v="39"/>
    <n v="6552"/>
    <x v="7"/>
    <x v="7"/>
    <x v="7"/>
  </r>
  <r>
    <x v="0"/>
    <x v="5"/>
    <x v="0"/>
    <x v="4"/>
    <x v="4"/>
    <x v="7"/>
    <n v="39"/>
    <n v="6552"/>
    <x v="7"/>
    <x v="7"/>
    <x v="7"/>
  </r>
  <r>
    <x v="1"/>
    <x v="12"/>
    <x v="0"/>
    <x v="5"/>
    <x v="7"/>
    <x v="4"/>
    <n v="20"/>
    <n v="3200"/>
    <x v="8"/>
    <x v="8"/>
    <x v="8"/>
  </r>
  <r>
    <x v="1"/>
    <x v="13"/>
    <x v="0"/>
    <x v="5"/>
    <x v="7"/>
    <x v="4"/>
    <n v="21"/>
    <n v="3360"/>
    <x v="8"/>
    <x v="8"/>
    <x v="8"/>
  </r>
  <r>
    <x v="1"/>
    <x v="14"/>
    <x v="0"/>
    <x v="5"/>
    <x v="7"/>
    <x v="4"/>
    <n v="20"/>
    <n v="3200"/>
    <x v="8"/>
    <x v="8"/>
    <x v="8"/>
  </r>
  <r>
    <x v="1"/>
    <x v="15"/>
    <x v="0"/>
    <x v="5"/>
    <x v="7"/>
    <x v="4"/>
    <n v="7"/>
    <n v="1120"/>
    <x v="8"/>
    <x v="8"/>
    <x v="8"/>
  </r>
  <r>
    <x v="1"/>
    <x v="16"/>
    <x v="0"/>
    <x v="5"/>
    <x v="7"/>
    <x v="4"/>
    <n v="10"/>
    <n v="1600"/>
    <x v="8"/>
    <x v="8"/>
    <x v="8"/>
  </r>
  <r>
    <x v="0"/>
    <x v="8"/>
    <x v="0"/>
    <x v="5"/>
    <x v="8"/>
    <x v="8"/>
    <n v="40"/>
    <n v="8400"/>
    <x v="0"/>
    <x v="9"/>
    <x v="9"/>
  </r>
  <r>
    <x v="0"/>
    <x v="9"/>
    <x v="0"/>
    <x v="5"/>
    <x v="8"/>
    <x v="8"/>
    <n v="40"/>
    <n v="8400"/>
    <x v="0"/>
    <x v="9"/>
    <x v="9"/>
  </r>
  <r>
    <x v="0"/>
    <x v="10"/>
    <x v="0"/>
    <x v="5"/>
    <x v="8"/>
    <x v="8"/>
    <n v="40"/>
    <n v="8400"/>
    <x v="0"/>
    <x v="9"/>
    <x v="9"/>
  </r>
  <r>
    <x v="0"/>
    <x v="11"/>
    <x v="0"/>
    <x v="5"/>
    <x v="8"/>
    <x v="8"/>
    <n v="39"/>
    <n v="8190"/>
    <x v="0"/>
    <x v="9"/>
    <x v="9"/>
  </r>
  <r>
    <x v="0"/>
    <x v="17"/>
    <x v="0"/>
    <x v="5"/>
    <x v="8"/>
    <x v="8"/>
    <n v="39"/>
    <n v="8190"/>
    <x v="0"/>
    <x v="9"/>
    <x v="9"/>
  </r>
  <r>
    <x v="0"/>
    <x v="18"/>
    <x v="0"/>
    <x v="5"/>
    <x v="8"/>
    <x v="8"/>
    <n v="39"/>
    <n v="8190"/>
    <x v="0"/>
    <x v="9"/>
    <x v="9"/>
  </r>
  <r>
    <x v="0"/>
    <x v="19"/>
    <x v="0"/>
    <x v="5"/>
    <x v="8"/>
    <x v="8"/>
    <n v="39"/>
    <n v="8190"/>
    <x v="0"/>
    <x v="9"/>
    <x v="9"/>
  </r>
  <r>
    <x v="0"/>
    <x v="20"/>
    <x v="0"/>
    <x v="5"/>
    <x v="8"/>
    <x v="8"/>
    <n v="39"/>
    <n v="8190"/>
    <x v="0"/>
    <x v="9"/>
    <x v="9"/>
  </r>
  <r>
    <x v="0"/>
    <x v="21"/>
    <x v="0"/>
    <x v="5"/>
    <x v="8"/>
    <x v="8"/>
    <n v="38"/>
    <n v="7980"/>
    <x v="0"/>
    <x v="9"/>
    <x v="9"/>
  </r>
  <r>
    <x v="0"/>
    <x v="22"/>
    <x v="0"/>
    <x v="5"/>
    <x v="8"/>
    <x v="8"/>
    <n v="37"/>
    <n v="7770"/>
    <x v="0"/>
    <x v="9"/>
    <x v="9"/>
  </r>
  <r>
    <x v="0"/>
    <x v="6"/>
    <x v="0"/>
    <x v="5"/>
    <x v="8"/>
    <x v="8"/>
    <n v="39"/>
    <n v="8190"/>
    <x v="0"/>
    <x v="9"/>
    <x v="9"/>
  </r>
  <r>
    <x v="0"/>
    <x v="7"/>
    <x v="0"/>
    <x v="5"/>
    <x v="8"/>
    <x v="8"/>
    <n v="38"/>
    <n v="7980"/>
    <x v="0"/>
    <x v="9"/>
    <x v="9"/>
  </r>
  <r>
    <x v="0"/>
    <x v="8"/>
    <x v="0"/>
    <x v="5"/>
    <x v="9"/>
    <x v="9"/>
    <n v="40"/>
    <n v="9600"/>
    <x v="9"/>
    <x v="10"/>
    <x v="10"/>
  </r>
  <r>
    <x v="0"/>
    <x v="9"/>
    <x v="0"/>
    <x v="5"/>
    <x v="9"/>
    <x v="9"/>
    <n v="40"/>
    <n v="9600"/>
    <x v="9"/>
    <x v="10"/>
    <x v="10"/>
  </r>
  <r>
    <x v="0"/>
    <x v="10"/>
    <x v="0"/>
    <x v="5"/>
    <x v="9"/>
    <x v="9"/>
    <n v="40"/>
    <n v="9600"/>
    <x v="9"/>
    <x v="10"/>
    <x v="10"/>
  </r>
  <r>
    <x v="0"/>
    <x v="11"/>
    <x v="0"/>
    <x v="5"/>
    <x v="9"/>
    <x v="9"/>
    <n v="39"/>
    <n v="9360"/>
    <x v="9"/>
    <x v="10"/>
    <x v="10"/>
  </r>
  <r>
    <x v="0"/>
    <x v="17"/>
    <x v="0"/>
    <x v="5"/>
    <x v="9"/>
    <x v="9"/>
    <n v="39"/>
    <n v="9360"/>
    <x v="9"/>
    <x v="10"/>
    <x v="10"/>
  </r>
  <r>
    <x v="0"/>
    <x v="18"/>
    <x v="0"/>
    <x v="5"/>
    <x v="9"/>
    <x v="9"/>
    <n v="39"/>
    <n v="9360"/>
    <x v="9"/>
    <x v="10"/>
    <x v="10"/>
  </r>
  <r>
    <x v="0"/>
    <x v="19"/>
    <x v="0"/>
    <x v="5"/>
    <x v="9"/>
    <x v="9"/>
    <n v="39"/>
    <n v="9360"/>
    <x v="9"/>
    <x v="10"/>
    <x v="10"/>
  </r>
  <r>
    <x v="0"/>
    <x v="20"/>
    <x v="0"/>
    <x v="5"/>
    <x v="9"/>
    <x v="9"/>
    <n v="39"/>
    <n v="9360"/>
    <x v="9"/>
    <x v="10"/>
    <x v="10"/>
  </r>
  <r>
    <x v="0"/>
    <x v="21"/>
    <x v="0"/>
    <x v="5"/>
    <x v="9"/>
    <x v="9"/>
    <n v="38"/>
    <n v="9120"/>
    <x v="9"/>
    <x v="10"/>
    <x v="10"/>
  </r>
  <r>
    <x v="0"/>
    <x v="22"/>
    <x v="0"/>
    <x v="5"/>
    <x v="9"/>
    <x v="9"/>
    <n v="37"/>
    <n v="8880"/>
    <x v="9"/>
    <x v="10"/>
    <x v="10"/>
  </r>
  <r>
    <x v="0"/>
    <x v="6"/>
    <x v="0"/>
    <x v="5"/>
    <x v="9"/>
    <x v="9"/>
    <n v="39"/>
    <n v="9360"/>
    <x v="9"/>
    <x v="10"/>
    <x v="10"/>
  </r>
  <r>
    <x v="0"/>
    <x v="7"/>
    <x v="0"/>
    <x v="5"/>
    <x v="9"/>
    <x v="9"/>
    <n v="38"/>
    <n v="9120"/>
    <x v="9"/>
    <x v="10"/>
    <x v="10"/>
  </r>
  <r>
    <x v="0"/>
    <x v="4"/>
    <x v="0"/>
    <x v="5"/>
    <x v="9"/>
    <x v="9"/>
    <n v="39"/>
    <n v="9360"/>
    <x v="9"/>
    <x v="10"/>
    <x v="10"/>
  </r>
  <r>
    <x v="0"/>
    <x v="5"/>
    <x v="0"/>
    <x v="5"/>
    <x v="9"/>
    <x v="9"/>
    <n v="39"/>
    <n v="9360"/>
    <x v="9"/>
    <x v="10"/>
    <x v="10"/>
  </r>
  <r>
    <x v="1"/>
    <x v="12"/>
    <x v="0"/>
    <x v="5"/>
    <x v="9"/>
    <x v="9"/>
    <n v="20"/>
    <n v="4800"/>
    <x v="9"/>
    <x v="10"/>
    <x v="10"/>
  </r>
  <r>
    <x v="1"/>
    <x v="13"/>
    <x v="0"/>
    <x v="5"/>
    <x v="9"/>
    <x v="9"/>
    <n v="21"/>
    <n v="5040"/>
    <x v="9"/>
    <x v="10"/>
    <x v="10"/>
  </r>
  <r>
    <x v="1"/>
    <x v="14"/>
    <x v="0"/>
    <x v="5"/>
    <x v="9"/>
    <x v="9"/>
    <n v="20"/>
    <n v="4800"/>
    <x v="9"/>
    <x v="10"/>
    <x v="10"/>
  </r>
  <r>
    <x v="1"/>
    <x v="15"/>
    <x v="0"/>
    <x v="5"/>
    <x v="9"/>
    <x v="9"/>
    <n v="7"/>
    <n v="1680"/>
    <x v="9"/>
    <x v="10"/>
    <x v="10"/>
  </r>
  <r>
    <x v="1"/>
    <x v="16"/>
    <x v="0"/>
    <x v="5"/>
    <x v="9"/>
    <x v="9"/>
    <n v="10"/>
    <n v="2400"/>
    <x v="9"/>
    <x v="10"/>
    <x v="10"/>
  </r>
  <r>
    <x v="1"/>
    <x v="12"/>
    <x v="0"/>
    <x v="5"/>
    <x v="10"/>
    <x v="8"/>
    <n v="20"/>
    <n v="4200"/>
    <x v="10"/>
    <x v="11"/>
    <x v="11"/>
  </r>
  <r>
    <x v="1"/>
    <x v="13"/>
    <x v="0"/>
    <x v="5"/>
    <x v="10"/>
    <x v="8"/>
    <n v="21"/>
    <n v="4410"/>
    <x v="10"/>
    <x v="11"/>
    <x v="11"/>
  </r>
  <r>
    <x v="1"/>
    <x v="14"/>
    <x v="0"/>
    <x v="5"/>
    <x v="10"/>
    <x v="8"/>
    <n v="20"/>
    <n v="4200"/>
    <x v="10"/>
    <x v="11"/>
    <x v="11"/>
  </r>
  <r>
    <x v="1"/>
    <x v="16"/>
    <x v="0"/>
    <x v="5"/>
    <x v="10"/>
    <x v="8"/>
    <n v="10"/>
    <n v="2100"/>
    <x v="10"/>
    <x v="11"/>
    <x v="11"/>
  </r>
  <r>
    <x v="0"/>
    <x v="8"/>
    <x v="0"/>
    <x v="6"/>
    <x v="11"/>
    <x v="3"/>
    <n v="40"/>
    <n v="8000"/>
    <x v="11"/>
    <x v="12"/>
    <x v="12"/>
  </r>
  <r>
    <x v="0"/>
    <x v="9"/>
    <x v="0"/>
    <x v="6"/>
    <x v="11"/>
    <x v="3"/>
    <n v="40"/>
    <n v="8000"/>
    <x v="11"/>
    <x v="12"/>
    <x v="12"/>
  </r>
  <r>
    <x v="0"/>
    <x v="10"/>
    <x v="0"/>
    <x v="6"/>
    <x v="11"/>
    <x v="3"/>
    <n v="40"/>
    <n v="8000"/>
    <x v="11"/>
    <x v="12"/>
    <x v="12"/>
  </r>
  <r>
    <x v="0"/>
    <x v="11"/>
    <x v="0"/>
    <x v="6"/>
    <x v="11"/>
    <x v="3"/>
    <n v="39"/>
    <n v="7800"/>
    <x v="11"/>
    <x v="12"/>
    <x v="12"/>
  </r>
  <r>
    <x v="0"/>
    <x v="17"/>
    <x v="0"/>
    <x v="6"/>
    <x v="11"/>
    <x v="3"/>
    <n v="39"/>
    <n v="7800"/>
    <x v="11"/>
    <x v="12"/>
    <x v="12"/>
  </r>
  <r>
    <x v="0"/>
    <x v="18"/>
    <x v="0"/>
    <x v="6"/>
    <x v="11"/>
    <x v="3"/>
    <n v="39"/>
    <n v="7800"/>
    <x v="11"/>
    <x v="12"/>
    <x v="12"/>
  </r>
  <r>
    <x v="0"/>
    <x v="19"/>
    <x v="0"/>
    <x v="6"/>
    <x v="11"/>
    <x v="3"/>
    <n v="39"/>
    <n v="7800"/>
    <x v="11"/>
    <x v="12"/>
    <x v="12"/>
  </r>
  <r>
    <x v="0"/>
    <x v="20"/>
    <x v="0"/>
    <x v="6"/>
    <x v="11"/>
    <x v="3"/>
    <n v="39"/>
    <n v="7800"/>
    <x v="11"/>
    <x v="12"/>
    <x v="12"/>
  </r>
  <r>
    <x v="0"/>
    <x v="21"/>
    <x v="0"/>
    <x v="6"/>
    <x v="11"/>
    <x v="3"/>
    <n v="38"/>
    <n v="7600"/>
    <x v="11"/>
    <x v="12"/>
    <x v="12"/>
  </r>
  <r>
    <x v="0"/>
    <x v="22"/>
    <x v="0"/>
    <x v="6"/>
    <x v="11"/>
    <x v="3"/>
    <n v="37"/>
    <n v="7400"/>
    <x v="11"/>
    <x v="12"/>
    <x v="12"/>
  </r>
  <r>
    <x v="0"/>
    <x v="4"/>
    <x v="0"/>
    <x v="6"/>
    <x v="11"/>
    <x v="3"/>
    <n v="39"/>
    <n v="7800"/>
    <x v="11"/>
    <x v="12"/>
    <x v="12"/>
  </r>
  <r>
    <x v="0"/>
    <x v="5"/>
    <x v="0"/>
    <x v="6"/>
    <x v="11"/>
    <x v="3"/>
    <n v="39"/>
    <n v="7800"/>
    <x v="11"/>
    <x v="12"/>
    <x v="12"/>
  </r>
  <r>
    <x v="1"/>
    <x v="12"/>
    <x v="0"/>
    <x v="6"/>
    <x v="11"/>
    <x v="3"/>
    <n v="20"/>
    <n v="4000"/>
    <x v="11"/>
    <x v="12"/>
    <x v="12"/>
  </r>
  <r>
    <x v="1"/>
    <x v="13"/>
    <x v="0"/>
    <x v="6"/>
    <x v="11"/>
    <x v="3"/>
    <n v="21"/>
    <n v="4200"/>
    <x v="11"/>
    <x v="12"/>
    <x v="12"/>
  </r>
  <r>
    <x v="1"/>
    <x v="14"/>
    <x v="0"/>
    <x v="6"/>
    <x v="11"/>
    <x v="3"/>
    <n v="20"/>
    <n v="4000"/>
    <x v="11"/>
    <x v="12"/>
    <x v="12"/>
  </r>
  <r>
    <x v="1"/>
    <x v="15"/>
    <x v="0"/>
    <x v="6"/>
    <x v="11"/>
    <x v="3"/>
    <n v="7"/>
    <n v="1400"/>
    <x v="11"/>
    <x v="12"/>
    <x v="12"/>
  </r>
  <r>
    <x v="1"/>
    <x v="16"/>
    <x v="0"/>
    <x v="6"/>
    <x v="11"/>
    <x v="3"/>
    <n v="10"/>
    <n v="2000"/>
    <x v="11"/>
    <x v="12"/>
    <x v="12"/>
  </r>
  <r>
    <x v="0"/>
    <x v="8"/>
    <x v="0"/>
    <x v="6"/>
    <x v="12"/>
    <x v="3"/>
    <n v="40"/>
    <n v="8000"/>
    <x v="12"/>
    <x v="13"/>
    <x v="13"/>
  </r>
  <r>
    <x v="0"/>
    <x v="9"/>
    <x v="0"/>
    <x v="6"/>
    <x v="12"/>
    <x v="3"/>
    <n v="40"/>
    <n v="8000"/>
    <x v="12"/>
    <x v="13"/>
    <x v="13"/>
  </r>
  <r>
    <x v="0"/>
    <x v="10"/>
    <x v="0"/>
    <x v="6"/>
    <x v="12"/>
    <x v="3"/>
    <n v="40"/>
    <n v="8000"/>
    <x v="12"/>
    <x v="13"/>
    <x v="13"/>
  </r>
  <r>
    <x v="0"/>
    <x v="11"/>
    <x v="0"/>
    <x v="6"/>
    <x v="12"/>
    <x v="3"/>
    <n v="39"/>
    <n v="7800"/>
    <x v="12"/>
    <x v="13"/>
    <x v="13"/>
  </r>
  <r>
    <x v="0"/>
    <x v="17"/>
    <x v="0"/>
    <x v="6"/>
    <x v="12"/>
    <x v="3"/>
    <n v="39"/>
    <n v="7800"/>
    <x v="12"/>
    <x v="13"/>
    <x v="13"/>
  </r>
  <r>
    <x v="0"/>
    <x v="18"/>
    <x v="0"/>
    <x v="6"/>
    <x v="12"/>
    <x v="3"/>
    <n v="39"/>
    <n v="7800"/>
    <x v="12"/>
    <x v="13"/>
    <x v="13"/>
  </r>
  <r>
    <x v="0"/>
    <x v="19"/>
    <x v="0"/>
    <x v="6"/>
    <x v="12"/>
    <x v="3"/>
    <n v="39"/>
    <n v="7800"/>
    <x v="12"/>
    <x v="13"/>
    <x v="13"/>
  </r>
  <r>
    <x v="0"/>
    <x v="20"/>
    <x v="0"/>
    <x v="6"/>
    <x v="12"/>
    <x v="3"/>
    <n v="39"/>
    <n v="7800"/>
    <x v="12"/>
    <x v="13"/>
    <x v="13"/>
  </r>
  <r>
    <x v="0"/>
    <x v="21"/>
    <x v="0"/>
    <x v="6"/>
    <x v="12"/>
    <x v="3"/>
    <n v="38"/>
    <n v="7600"/>
    <x v="12"/>
    <x v="13"/>
    <x v="13"/>
  </r>
  <r>
    <x v="0"/>
    <x v="22"/>
    <x v="0"/>
    <x v="6"/>
    <x v="12"/>
    <x v="3"/>
    <n v="37"/>
    <n v="7400"/>
    <x v="12"/>
    <x v="13"/>
    <x v="13"/>
  </r>
  <r>
    <x v="0"/>
    <x v="0"/>
    <x v="0"/>
    <x v="7"/>
    <x v="13"/>
    <x v="10"/>
    <n v="39"/>
    <n v="7215"/>
    <x v="13"/>
    <x v="14"/>
    <x v="14"/>
  </r>
  <r>
    <x v="0"/>
    <x v="1"/>
    <x v="0"/>
    <x v="7"/>
    <x v="13"/>
    <x v="10"/>
    <n v="39"/>
    <n v="7215"/>
    <x v="13"/>
    <x v="14"/>
    <x v="14"/>
  </r>
  <r>
    <x v="0"/>
    <x v="2"/>
    <x v="0"/>
    <x v="7"/>
    <x v="13"/>
    <x v="10"/>
    <n v="38"/>
    <n v="7030"/>
    <x v="13"/>
    <x v="14"/>
    <x v="14"/>
  </r>
  <r>
    <x v="0"/>
    <x v="3"/>
    <x v="0"/>
    <x v="7"/>
    <x v="13"/>
    <x v="10"/>
    <n v="38"/>
    <n v="7030"/>
    <x v="13"/>
    <x v="14"/>
    <x v="14"/>
  </r>
  <r>
    <x v="1"/>
    <x v="12"/>
    <x v="0"/>
    <x v="8"/>
    <x v="12"/>
    <x v="11"/>
    <n v="20"/>
    <n v="4600"/>
    <x v="14"/>
    <x v="15"/>
    <x v="15"/>
  </r>
  <r>
    <x v="1"/>
    <x v="13"/>
    <x v="0"/>
    <x v="8"/>
    <x v="12"/>
    <x v="11"/>
    <n v="21"/>
    <n v="4830"/>
    <x v="14"/>
    <x v="15"/>
    <x v="15"/>
  </r>
  <r>
    <x v="1"/>
    <x v="14"/>
    <x v="0"/>
    <x v="8"/>
    <x v="12"/>
    <x v="11"/>
    <n v="20"/>
    <n v="4600"/>
    <x v="14"/>
    <x v="15"/>
    <x v="15"/>
  </r>
  <r>
    <x v="1"/>
    <x v="15"/>
    <x v="0"/>
    <x v="8"/>
    <x v="12"/>
    <x v="11"/>
    <n v="7"/>
    <n v="1610"/>
    <x v="14"/>
    <x v="15"/>
    <x v="15"/>
  </r>
  <r>
    <x v="1"/>
    <x v="16"/>
    <x v="0"/>
    <x v="8"/>
    <x v="12"/>
    <x v="11"/>
    <n v="10"/>
    <n v="2300"/>
    <x v="14"/>
    <x v="15"/>
    <x v="15"/>
  </r>
  <r>
    <x v="0"/>
    <x v="8"/>
    <x v="0"/>
    <x v="8"/>
    <x v="14"/>
    <x v="11"/>
    <n v="40"/>
    <n v="9200"/>
    <x v="15"/>
    <x v="16"/>
    <x v="16"/>
  </r>
  <r>
    <x v="0"/>
    <x v="9"/>
    <x v="0"/>
    <x v="8"/>
    <x v="14"/>
    <x v="11"/>
    <n v="40"/>
    <n v="9200"/>
    <x v="15"/>
    <x v="16"/>
    <x v="16"/>
  </r>
  <r>
    <x v="0"/>
    <x v="10"/>
    <x v="0"/>
    <x v="8"/>
    <x v="14"/>
    <x v="11"/>
    <n v="40"/>
    <n v="9200"/>
    <x v="15"/>
    <x v="16"/>
    <x v="16"/>
  </r>
  <r>
    <x v="0"/>
    <x v="11"/>
    <x v="0"/>
    <x v="8"/>
    <x v="14"/>
    <x v="11"/>
    <n v="39"/>
    <n v="8970"/>
    <x v="15"/>
    <x v="16"/>
    <x v="16"/>
  </r>
  <r>
    <x v="0"/>
    <x v="17"/>
    <x v="0"/>
    <x v="8"/>
    <x v="14"/>
    <x v="11"/>
    <n v="39"/>
    <n v="8970"/>
    <x v="15"/>
    <x v="16"/>
    <x v="16"/>
  </r>
  <r>
    <x v="0"/>
    <x v="18"/>
    <x v="0"/>
    <x v="8"/>
    <x v="14"/>
    <x v="11"/>
    <n v="39"/>
    <n v="8970"/>
    <x v="15"/>
    <x v="16"/>
    <x v="16"/>
  </r>
  <r>
    <x v="0"/>
    <x v="19"/>
    <x v="0"/>
    <x v="8"/>
    <x v="14"/>
    <x v="11"/>
    <n v="39"/>
    <n v="8970"/>
    <x v="15"/>
    <x v="16"/>
    <x v="16"/>
  </r>
  <r>
    <x v="0"/>
    <x v="20"/>
    <x v="0"/>
    <x v="8"/>
    <x v="14"/>
    <x v="11"/>
    <n v="39"/>
    <n v="8970"/>
    <x v="15"/>
    <x v="16"/>
    <x v="16"/>
  </r>
  <r>
    <x v="0"/>
    <x v="21"/>
    <x v="0"/>
    <x v="8"/>
    <x v="14"/>
    <x v="11"/>
    <n v="38"/>
    <n v="8740"/>
    <x v="15"/>
    <x v="16"/>
    <x v="16"/>
  </r>
  <r>
    <x v="0"/>
    <x v="22"/>
    <x v="0"/>
    <x v="8"/>
    <x v="14"/>
    <x v="11"/>
    <n v="37"/>
    <n v="8510"/>
    <x v="15"/>
    <x v="16"/>
    <x v="16"/>
  </r>
  <r>
    <x v="0"/>
    <x v="0"/>
    <x v="0"/>
    <x v="9"/>
    <x v="15"/>
    <x v="12"/>
    <n v="39"/>
    <n v="5499"/>
    <x v="16"/>
    <x v="17"/>
    <x v="17"/>
  </r>
  <r>
    <x v="0"/>
    <x v="1"/>
    <x v="0"/>
    <x v="9"/>
    <x v="15"/>
    <x v="12"/>
    <n v="39"/>
    <n v="5499"/>
    <x v="16"/>
    <x v="17"/>
    <x v="17"/>
  </r>
  <r>
    <x v="0"/>
    <x v="2"/>
    <x v="0"/>
    <x v="9"/>
    <x v="15"/>
    <x v="12"/>
    <n v="38"/>
    <n v="5358"/>
    <x v="16"/>
    <x v="17"/>
    <x v="17"/>
  </r>
  <r>
    <x v="0"/>
    <x v="3"/>
    <x v="0"/>
    <x v="9"/>
    <x v="15"/>
    <x v="12"/>
    <n v="38"/>
    <n v="5358"/>
    <x v="16"/>
    <x v="17"/>
    <x v="17"/>
  </r>
  <r>
    <x v="0"/>
    <x v="8"/>
    <x v="0"/>
    <x v="9"/>
    <x v="15"/>
    <x v="12"/>
    <n v="40"/>
    <n v="5640"/>
    <x v="16"/>
    <x v="17"/>
    <x v="17"/>
  </r>
  <r>
    <x v="0"/>
    <x v="9"/>
    <x v="0"/>
    <x v="9"/>
    <x v="15"/>
    <x v="12"/>
    <n v="40"/>
    <n v="5640"/>
    <x v="16"/>
    <x v="17"/>
    <x v="17"/>
  </r>
  <r>
    <x v="0"/>
    <x v="10"/>
    <x v="0"/>
    <x v="9"/>
    <x v="15"/>
    <x v="12"/>
    <n v="40"/>
    <n v="5640"/>
    <x v="16"/>
    <x v="17"/>
    <x v="17"/>
  </r>
  <r>
    <x v="0"/>
    <x v="11"/>
    <x v="0"/>
    <x v="9"/>
    <x v="15"/>
    <x v="12"/>
    <n v="39"/>
    <n v="5499"/>
    <x v="16"/>
    <x v="17"/>
    <x v="17"/>
  </r>
  <r>
    <x v="0"/>
    <x v="17"/>
    <x v="0"/>
    <x v="9"/>
    <x v="15"/>
    <x v="12"/>
    <n v="39"/>
    <n v="5499"/>
    <x v="16"/>
    <x v="17"/>
    <x v="17"/>
  </r>
  <r>
    <x v="0"/>
    <x v="18"/>
    <x v="0"/>
    <x v="9"/>
    <x v="15"/>
    <x v="12"/>
    <n v="39"/>
    <n v="5499"/>
    <x v="16"/>
    <x v="17"/>
    <x v="17"/>
  </r>
  <r>
    <x v="0"/>
    <x v="19"/>
    <x v="0"/>
    <x v="9"/>
    <x v="15"/>
    <x v="12"/>
    <n v="39"/>
    <n v="5499"/>
    <x v="16"/>
    <x v="17"/>
    <x v="17"/>
  </r>
  <r>
    <x v="0"/>
    <x v="20"/>
    <x v="0"/>
    <x v="9"/>
    <x v="15"/>
    <x v="12"/>
    <n v="39"/>
    <n v="5499"/>
    <x v="16"/>
    <x v="17"/>
    <x v="17"/>
  </r>
  <r>
    <x v="0"/>
    <x v="21"/>
    <x v="0"/>
    <x v="9"/>
    <x v="15"/>
    <x v="12"/>
    <n v="38"/>
    <n v="5358"/>
    <x v="16"/>
    <x v="17"/>
    <x v="17"/>
  </r>
  <r>
    <x v="0"/>
    <x v="22"/>
    <x v="0"/>
    <x v="9"/>
    <x v="15"/>
    <x v="12"/>
    <n v="37"/>
    <n v="5217"/>
    <x v="16"/>
    <x v="17"/>
    <x v="17"/>
  </r>
  <r>
    <x v="0"/>
    <x v="6"/>
    <x v="0"/>
    <x v="9"/>
    <x v="15"/>
    <x v="12"/>
    <n v="39"/>
    <n v="5499"/>
    <x v="16"/>
    <x v="17"/>
    <x v="17"/>
  </r>
  <r>
    <x v="0"/>
    <x v="7"/>
    <x v="0"/>
    <x v="9"/>
    <x v="15"/>
    <x v="12"/>
    <n v="38"/>
    <n v="5358"/>
    <x v="16"/>
    <x v="17"/>
    <x v="17"/>
  </r>
  <r>
    <x v="0"/>
    <x v="4"/>
    <x v="0"/>
    <x v="9"/>
    <x v="15"/>
    <x v="12"/>
    <n v="39"/>
    <n v="5499"/>
    <x v="16"/>
    <x v="17"/>
    <x v="17"/>
  </r>
  <r>
    <x v="0"/>
    <x v="5"/>
    <x v="0"/>
    <x v="9"/>
    <x v="15"/>
    <x v="12"/>
    <n v="39"/>
    <n v="5499"/>
    <x v="16"/>
    <x v="17"/>
    <x v="17"/>
  </r>
  <r>
    <x v="0"/>
    <x v="8"/>
    <x v="0"/>
    <x v="10"/>
    <x v="16"/>
    <x v="13"/>
    <n v="40"/>
    <n v="11120"/>
    <x v="17"/>
    <x v="18"/>
    <x v="18"/>
  </r>
  <r>
    <x v="0"/>
    <x v="9"/>
    <x v="0"/>
    <x v="10"/>
    <x v="16"/>
    <x v="13"/>
    <n v="40"/>
    <n v="11120"/>
    <x v="17"/>
    <x v="18"/>
    <x v="18"/>
  </r>
  <r>
    <x v="0"/>
    <x v="10"/>
    <x v="0"/>
    <x v="10"/>
    <x v="16"/>
    <x v="13"/>
    <n v="40"/>
    <n v="11120"/>
    <x v="17"/>
    <x v="18"/>
    <x v="18"/>
  </r>
  <r>
    <x v="0"/>
    <x v="11"/>
    <x v="0"/>
    <x v="10"/>
    <x v="16"/>
    <x v="13"/>
    <n v="39"/>
    <n v="10842"/>
    <x v="17"/>
    <x v="18"/>
    <x v="18"/>
  </r>
  <r>
    <x v="0"/>
    <x v="17"/>
    <x v="0"/>
    <x v="10"/>
    <x v="16"/>
    <x v="13"/>
    <n v="39"/>
    <n v="10842"/>
    <x v="17"/>
    <x v="18"/>
    <x v="18"/>
  </r>
  <r>
    <x v="0"/>
    <x v="18"/>
    <x v="0"/>
    <x v="10"/>
    <x v="16"/>
    <x v="13"/>
    <n v="39"/>
    <n v="10842"/>
    <x v="17"/>
    <x v="18"/>
    <x v="18"/>
  </r>
  <r>
    <x v="0"/>
    <x v="19"/>
    <x v="0"/>
    <x v="10"/>
    <x v="16"/>
    <x v="13"/>
    <n v="39"/>
    <n v="10842"/>
    <x v="17"/>
    <x v="18"/>
    <x v="18"/>
  </r>
  <r>
    <x v="0"/>
    <x v="20"/>
    <x v="0"/>
    <x v="10"/>
    <x v="16"/>
    <x v="13"/>
    <n v="39"/>
    <n v="10842"/>
    <x v="17"/>
    <x v="18"/>
    <x v="18"/>
  </r>
  <r>
    <x v="0"/>
    <x v="21"/>
    <x v="0"/>
    <x v="10"/>
    <x v="16"/>
    <x v="13"/>
    <n v="38"/>
    <n v="10564"/>
    <x v="17"/>
    <x v="18"/>
    <x v="18"/>
  </r>
  <r>
    <x v="0"/>
    <x v="22"/>
    <x v="0"/>
    <x v="10"/>
    <x v="16"/>
    <x v="13"/>
    <n v="37"/>
    <n v="10286"/>
    <x v="17"/>
    <x v="18"/>
    <x v="18"/>
  </r>
  <r>
    <x v="0"/>
    <x v="4"/>
    <x v="0"/>
    <x v="10"/>
    <x v="16"/>
    <x v="13"/>
    <n v="39"/>
    <n v="10842"/>
    <x v="17"/>
    <x v="18"/>
    <x v="18"/>
  </r>
  <r>
    <x v="0"/>
    <x v="5"/>
    <x v="0"/>
    <x v="10"/>
    <x v="16"/>
    <x v="13"/>
    <n v="39"/>
    <n v="10842"/>
    <x v="17"/>
    <x v="18"/>
    <x v="18"/>
  </r>
  <r>
    <x v="1"/>
    <x v="12"/>
    <x v="0"/>
    <x v="10"/>
    <x v="16"/>
    <x v="13"/>
    <n v="20"/>
    <n v="5560"/>
    <x v="17"/>
    <x v="18"/>
    <x v="18"/>
  </r>
  <r>
    <x v="1"/>
    <x v="13"/>
    <x v="0"/>
    <x v="10"/>
    <x v="16"/>
    <x v="13"/>
    <n v="21"/>
    <n v="5838"/>
    <x v="17"/>
    <x v="18"/>
    <x v="18"/>
  </r>
  <r>
    <x v="1"/>
    <x v="14"/>
    <x v="0"/>
    <x v="10"/>
    <x v="16"/>
    <x v="13"/>
    <n v="20"/>
    <n v="5560"/>
    <x v="17"/>
    <x v="18"/>
    <x v="18"/>
  </r>
  <r>
    <x v="1"/>
    <x v="15"/>
    <x v="0"/>
    <x v="10"/>
    <x v="16"/>
    <x v="13"/>
    <n v="7"/>
    <n v="1946"/>
    <x v="17"/>
    <x v="18"/>
    <x v="18"/>
  </r>
  <r>
    <x v="1"/>
    <x v="16"/>
    <x v="0"/>
    <x v="10"/>
    <x v="16"/>
    <x v="13"/>
    <n v="10"/>
    <n v="2780"/>
    <x v="17"/>
    <x v="18"/>
    <x v="18"/>
  </r>
  <r>
    <x v="0"/>
    <x v="0"/>
    <x v="0"/>
    <x v="11"/>
    <x v="17"/>
    <x v="14"/>
    <n v="39"/>
    <n v="8034"/>
    <x v="18"/>
    <x v="19"/>
    <x v="19"/>
  </r>
  <r>
    <x v="0"/>
    <x v="1"/>
    <x v="0"/>
    <x v="11"/>
    <x v="17"/>
    <x v="14"/>
    <n v="39"/>
    <n v="8034"/>
    <x v="18"/>
    <x v="19"/>
    <x v="19"/>
  </r>
  <r>
    <x v="0"/>
    <x v="2"/>
    <x v="0"/>
    <x v="11"/>
    <x v="17"/>
    <x v="14"/>
    <n v="38"/>
    <n v="7828"/>
    <x v="18"/>
    <x v="19"/>
    <x v="19"/>
  </r>
  <r>
    <x v="0"/>
    <x v="3"/>
    <x v="0"/>
    <x v="11"/>
    <x v="17"/>
    <x v="14"/>
    <n v="38"/>
    <n v="7828"/>
    <x v="18"/>
    <x v="19"/>
    <x v="19"/>
  </r>
  <r>
    <x v="0"/>
    <x v="0"/>
    <x v="0"/>
    <x v="11"/>
    <x v="18"/>
    <x v="15"/>
    <n v="39"/>
    <n v="8385"/>
    <x v="19"/>
    <x v="20"/>
    <x v="20"/>
  </r>
  <r>
    <x v="0"/>
    <x v="1"/>
    <x v="0"/>
    <x v="11"/>
    <x v="18"/>
    <x v="15"/>
    <n v="39"/>
    <n v="8385"/>
    <x v="19"/>
    <x v="20"/>
    <x v="20"/>
  </r>
  <r>
    <x v="0"/>
    <x v="2"/>
    <x v="0"/>
    <x v="11"/>
    <x v="18"/>
    <x v="15"/>
    <n v="38"/>
    <n v="8170"/>
    <x v="19"/>
    <x v="20"/>
    <x v="20"/>
  </r>
  <r>
    <x v="0"/>
    <x v="3"/>
    <x v="0"/>
    <x v="11"/>
    <x v="18"/>
    <x v="15"/>
    <n v="38"/>
    <n v="8170"/>
    <x v="19"/>
    <x v="20"/>
    <x v="20"/>
  </r>
  <r>
    <x v="0"/>
    <x v="0"/>
    <x v="0"/>
    <x v="11"/>
    <x v="19"/>
    <x v="16"/>
    <n v="39"/>
    <n v="7605"/>
    <x v="20"/>
    <x v="21"/>
    <x v="21"/>
  </r>
  <r>
    <x v="0"/>
    <x v="1"/>
    <x v="0"/>
    <x v="11"/>
    <x v="19"/>
    <x v="16"/>
    <n v="39"/>
    <n v="7605"/>
    <x v="20"/>
    <x v="21"/>
    <x v="21"/>
  </r>
  <r>
    <x v="0"/>
    <x v="2"/>
    <x v="0"/>
    <x v="11"/>
    <x v="19"/>
    <x v="16"/>
    <n v="38"/>
    <n v="7410"/>
    <x v="20"/>
    <x v="21"/>
    <x v="21"/>
  </r>
  <r>
    <x v="0"/>
    <x v="3"/>
    <x v="0"/>
    <x v="11"/>
    <x v="19"/>
    <x v="16"/>
    <n v="38"/>
    <n v="7410"/>
    <x v="20"/>
    <x v="21"/>
    <x v="21"/>
  </r>
  <r>
    <x v="0"/>
    <x v="0"/>
    <x v="0"/>
    <x v="11"/>
    <x v="20"/>
    <x v="17"/>
    <n v="39"/>
    <n v="8502"/>
    <x v="21"/>
    <x v="22"/>
    <x v="22"/>
  </r>
  <r>
    <x v="0"/>
    <x v="1"/>
    <x v="0"/>
    <x v="11"/>
    <x v="20"/>
    <x v="17"/>
    <n v="39"/>
    <n v="8502"/>
    <x v="21"/>
    <x v="22"/>
    <x v="22"/>
  </r>
  <r>
    <x v="1"/>
    <x v="12"/>
    <x v="0"/>
    <x v="12"/>
    <x v="21"/>
    <x v="18"/>
    <n v="20"/>
    <n v="3740"/>
    <x v="22"/>
    <x v="23"/>
    <x v="23"/>
  </r>
  <r>
    <x v="1"/>
    <x v="13"/>
    <x v="0"/>
    <x v="12"/>
    <x v="21"/>
    <x v="18"/>
    <n v="21"/>
    <n v="3927"/>
    <x v="22"/>
    <x v="23"/>
    <x v="23"/>
  </r>
  <r>
    <x v="1"/>
    <x v="14"/>
    <x v="0"/>
    <x v="12"/>
    <x v="21"/>
    <x v="18"/>
    <n v="20"/>
    <n v="3740"/>
    <x v="22"/>
    <x v="23"/>
    <x v="23"/>
  </r>
  <r>
    <x v="1"/>
    <x v="15"/>
    <x v="0"/>
    <x v="12"/>
    <x v="21"/>
    <x v="18"/>
    <n v="7"/>
    <n v="1309"/>
    <x v="22"/>
    <x v="23"/>
    <x v="23"/>
  </r>
  <r>
    <x v="1"/>
    <x v="16"/>
    <x v="0"/>
    <x v="12"/>
    <x v="21"/>
    <x v="18"/>
    <n v="10"/>
    <n v="1870"/>
    <x v="22"/>
    <x v="23"/>
    <x v="23"/>
  </r>
  <r>
    <x v="1"/>
    <x v="15"/>
    <x v="0"/>
    <x v="12"/>
    <x v="22"/>
    <x v="19"/>
    <n v="7"/>
    <n v="1995"/>
    <x v="23"/>
    <x v="3"/>
    <x v="3"/>
  </r>
  <r>
    <x v="1"/>
    <x v="23"/>
    <x v="0"/>
    <x v="12"/>
    <x v="22"/>
    <x v="19"/>
    <n v="5"/>
    <n v="1425"/>
    <x v="23"/>
    <x v="3"/>
    <x v="3"/>
  </r>
  <r>
    <x v="0"/>
    <x v="17"/>
    <x v="0"/>
    <x v="12"/>
    <x v="23"/>
    <x v="20"/>
    <n v="39"/>
    <n v="10335"/>
    <x v="23"/>
    <x v="3"/>
    <x v="3"/>
  </r>
  <r>
    <x v="0"/>
    <x v="18"/>
    <x v="0"/>
    <x v="12"/>
    <x v="23"/>
    <x v="20"/>
    <n v="39"/>
    <n v="10335"/>
    <x v="23"/>
    <x v="3"/>
    <x v="3"/>
  </r>
  <r>
    <x v="0"/>
    <x v="19"/>
    <x v="0"/>
    <x v="12"/>
    <x v="23"/>
    <x v="20"/>
    <n v="39"/>
    <n v="10335"/>
    <x v="23"/>
    <x v="3"/>
    <x v="3"/>
  </r>
  <r>
    <x v="0"/>
    <x v="20"/>
    <x v="0"/>
    <x v="12"/>
    <x v="23"/>
    <x v="20"/>
    <n v="39"/>
    <n v="10335"/>
    <x v="23"/>
    <x v="3"/>
    <x v="3"/>
  </r>
  <r>
    <x v="0"/>
    <x v="8"/>
    <x v="0"/>
    <x v="12"/>
    <x v="24"/>
    <x v="21"/>
    <n v="40"/>
    <n v="7200"/>
    <x v="24"/>
    <x v="24"/>
    <x v="24"/>
  </r>
  <r>
    <x v="0"/>
    <x v="9"/>
    <x v="0"/>
    <x v="12"/>
    <x v="24"/>
    <x v="21"/>
    <n v="40"/>
    <n v="7200"/>
    <x v="24"/>
    <x v="24"/>
    <x v="24"/>
  </r>
  <r>
    <x v="0"/>
    <x v="10"/>
    <x v="0"/>
    <x v="12"/>
    <x v="24"/>
    <x v="21"/>
    <n v="40"/>
    <n v="7200"/>
    <x v="24"/>
    <x v="24"/>
    <x v="24"/>
  </r>
  <r>
    <x v="0"/>
    <x v="11"/>
    <x v="0"/>
    <x v="12"/>
    <x v="24"/>
    <x v="21"/>
    <n v="39"/>
    <n v="7020"/>
    <x v="24"/>
    <x v="24"/>
    <x v="24"/>
  </r>
  <r>
    <x v="0"/>
    <x v="17"/>
    <x v="0"/>
    <x v="12"/>
    <x v="24"/>
    <x v="21"/>
    <n v="39"/>
    <n v="7020"/>
    <x v="24"/>
    <x v="24"/>
    <x v="24"/>
  </r>
  <r>
    <x v="0"/>
    <x v="18"/>
    <x v="0"/>
    <x v="12"/>
    <x v="24"/>
    <x v="21"/>
    <n v="39"/>
    <n v="7020"/>
    <x v="24"/>
    <x v="24"/>
    <x v="24"/>
  </r>
  <r>
    <x v="0"/>
    <x v="19"/>
    <x v="0"/>
    <x v="12"/>
    <x v="24"/>
    <x v="21"/>
    <n v="39"/>
    <n v="7020"/>
    <x v="24"/>
    <x v="24"/>
    <x v="24"/>
  </r>
  <r>
    <x v="0"/>
    <x v="20"/>
    <x v="0"/>
    <x v="12"/>
    <x v="24"/>
    <x v="21"/>
    <n v="39"/>
    <n v="7020"/>
    <x v="24"/>
    <x v="24"/>
    <x v="24"/>
  </r>
  <r>
    <x v="0"/>
    <x v="21"/>
    <x v="0"/>
    <x v="12"/>
    <x v="24"/>
    <x v="21"/>
    <n v="38"/>
    <n v="6840"/>
    <x v="24"/>
    <x v="24"/>
    <x v="24"/>
  </r>
  <r>
    <x v="0"/>
    <x v="22"/>
    <x v="0"/>
    <x v="12"/>
    <x v="24"/>
    <x v="21"/>
    <n v="37"/>
    <n v="6660"/>
    <x v="24"/>
    <x v="24"/>
    <x v="24"/>
  </r>
  <r>
    <x v="0"/>
    <x v="6"/>
    <x v="0"/>
    <x v="12"/>
    <x v="24"/>
    <x v="21"/>
    <n v="39"/>
    <n v="7020"/>
    <x v="24"/>
    <x v="24"/>
    <x v="24"/>
  </r>
  <r>
    <x v="0"/>
    <x v="7"/>
    <x v="0"/>
    <x v="12"/>
    <x v="24"/>
    <x v="21"/>
    <n v="38"/>
    <n v="6840"/>
    <x v="24"/>
    <x v="24"/>
    <x v="24"/>
  </r>
  <r>
    <x v="0"/>
    <x v="4"/>
    <x v="0"/>
    <x v="12"/>
    <x v="24"/>
    <x v="21"/>
    <n v="39"/>
    <n v="7020"/>
    <x v="24"/>
    <x v="24"/>
    <x v="24"/>
  </r>
  <r>
    <x v="0"/>
    <x v="5"/>
    <x v="0"/>
    <x v="12"/>
    <x v="24"/>
    <x v="21"/>
    <n v="39"/>
    <n v="7020"/>
    <x v="24"/>
    <x v="24"/>
    <x v="24"/>
  </r>
  <r>
    <x v="0"/>
    <x v="24"/>
    <x v="1"/>
    <x v="0"/>
    <x v="25"/>
    <x v="22"/>
    <n v="30"/>
    <n v="7440"/>
    <x v="0"/>
    <x v="25"/>
    <x v="25"/>
  </r>
  <r>
    <x v="0"/>
    <x v="25"/>
    <x v="1"/>
    <x v="0"/>
    <x v="25"/>
    <x v="22"/>
    <n v="30"/>
    <n v="7440"/>
    <x v="0"/>
    <x v="25"/>
    <x v="25"/>
  </r>
  <r>
    <x v="0"/>
    <x v="26"/>
    <x v="1"/>
    <x v="0"/>
    <x v="25"/>
    <x v="22"/>
    <n v="51"/>
    <n v="12648"/>
    <x v="0"/>
    <x v="25"/>
    <x v="25"/>
  </r>
  <r>
    <x v="0"/>
    <x v="27"/>
    <x v="1"/>
    <x v="0"/>
    <x v="25"/>
    <x v="22"/>
    <n v="53"/>
    <n v="13144"/>
    <x v="0"/>
    <x v="25"/>
    <x v="25"/>
  </r>
  <r>
    <x v="0"/>
    <x v="28"/>
    <x v="1"/>
    <x v="0"/>
    <x v="25"/>
    <x v="22"/>
    <n v="40"/>
    <n v="9920"/>
    <x v="0"/>
    <x v="25"/>
    <x v="25"/>
  </r>
  <r>
    <x v="0"/>
    <x v="29"/>
    <x v="1"/>
    <x v="0"/>
    <x v="25"/>
    <x v="22"/>
    <n v="42"/>
    <n v="10416"/>
    <x v="0"/>
    <x v="25"/>
    <x v="25"/>
  </r>
  <r>
    <x v="0"/>
    <x v="24"/>
    <x v="1"/>
    <x v="0"/>
    <x v="26"/>
    <x v="23"/>
    <n v="29"/>
    <n v="6380"/>
    <x v="25"/>
    <x v="26"/>
    <x v="26"/>
  </r>
  <r>
    <x v="0"/>
    <x v="25"/>
    <x v="1"/>
    <x v="0"/>
    <x v="26"/>
    <x v="23"/>
    <n v="30"/>
    <n v="6600"/>
    <x v="25"/>
    <x v="26"/>
    <x v="26"/>
  </r>
  <r>
    <x v="0"/>
    <x v="26"/>
    <x v="1"/>
    <x v="0"/>
    <x v="26"/>
    <x v="23"/>
    <n v="51"/>
    <n v="11220"/>
    <x v="25"/>
    <x v="26"/>
    <x v="26"/>
  </r>
  <r>
    <x v="0"/>
    <x v="27"/>
    <x v="1"/>
    <x v="0"/>
    <x v="26"/>
    <x v="23"/>
    <n v="53"/>
    <n v="11660"/>
    <x v="25"/>
    <x v="26"/>
    <x v="26"/>
  </r>
  <r>
    <x v="1"/>
    <x v="30"/>
    <x v="1"/>
    <x v="2"/>
    <x v="27"/>
    <x v="24"/>
    <n v="16"/>
    <n v="2400"/>
    <x v="26"/>
    <x v="3"/>
    <x v="3"/>
  </r>
  <r>
    <x v="1"/>
    <x v="31"/>
    <x v="1"/>
    <x v="2"/>
    <x v="27"/>
    <x v="24"/>
    <n v="17"/>
    <n v="2550"/>
    <x v="26"/>
    <x v="3"/>
    <x v="3"/>
  </r>
  <r>
    <x v="1"/>
    <x v="32"/>
    <x v="1"/>
    <x v="2"/>
    <x v="27"/>
    <x v="24"/>
    <n v="16"/>
    <n v="2400"/>
    <x v="26"/>
    <x v="3"/>
    <x v="3"/>
  </r>
  <r>
    <x v="1"/>
    <x v="33"/>
    <x v="1"/>
    <x v="2"/>
    <x v="27"/>
    <x v="24"/>
    <n v="17"/>
    <n v="2550"/>
    <x v="26"/>
    <x v="3"/>
    <x v="3"/>
  </r>
  <r>
    <x v="1"/>
    <x v="34"/>
    <x v="1"/>
    <x v="2"/>
    <x v="27"/>
    <x v="24"/>
    <n v="20"/>
    <n v="3000"/>
    <x v="26"/>
    <x v="3"/>
    <x v="3"/>
  </r>
  <r>
    <x v="1"/>
    <x v="35"/>
    <x v="1"/>
    <x v="2"/>
    <x v="27"/>
    <x v="24"/>
    <n v="10"/>
    <n v="1500"/>
    <x v="26"/>
    <x v="3"/>
    <x v="3"/>
  </r>
  <r>
    <x v="0"/>
    <x v="36"/>
    <x v="1"/>
    <x v="2"/>
    <x v="28"/>
    <x v="4"/>
    <n v="40"/>
    <n v="6400"/>
    <x v="27"/>
    <x v="3"/>
    <x v="3"/>
  </r>
  <r>
    <x v="0"/>
    <x v="37"/>
    <x v="1"/>
    <x v="2"/>
    <x v="28"/>
    <x v="4"/>
    <n v="38"/>
    <n v="6080"/>
    <x v="27"/>
    <x v="3"/>
    <x v="3"/>
  </r>
  <r>
    <x v="0"/>
    <x v="38"/>
    <x v="1"/>
    <x v="2"/>
    <x v="28"/>
    <x v="4"/>
    <n v="38"/>
    <n v="6080"/>
    <x v="27"/>
    <x v="3"/>
    <x v="3"/>
  </r>
  <r>
    <x v="0"/>
    <x v="39"/>
    <x v="1"/>
    <x v="2"/>
    <x v="28"/>
    <x v="4"/>
    <n v="38"/>
    <n v="6080"/>
    <x v="27"/>
    <x v="3"/>
    <x v="3"/>
  </r>
  <r>
    <x v="0"/>
    <x v="40"/>
    <x v="1"/>
    <x v="2"/>
    <x v="28"/>
    <x v="4"/>
    <n v="39"/>
    <n v="6240"/>
    <x v="27"/>
    <x v="3"/>
    <x v="3"/>
  </r>
  <r>
    <x v="0"/>
    <x v="41"/>
    <x v="1"/>
    <x v="2"/>
    <x v="28"/>
    <x v="4"/>
    <n v="37"/>
    <n v="5920"/>
    <x v="27"/>
    <x v="3"/>
    <x v="3"/>
  </r>
  <r>
    <x v="0"/>
    <x v="42"/>
    <x v="1"/>
    <x v="2"/>
    <x v="28"/>
    <x v="4"/>
    <n v="37"/>
    <n v="5920"/>
    <x v="27"/>
    <x v="3"/>
    <x v="3"/>
  </r>
  <r>
    <x v="0"/>
    <x v="43"/>
    <x v="1"/>
    <x v="2"/>
    <x v="28"/>
    <x v="4"/>
    <n v="39"/>
    <n v="6240"/>
    <x v="27"/>
    <x v="3"/>
    <x v="3"/>
  </r>
  <r>
    <x v="0"/>
    <x v="44"/>
    <x v="1"/>
    <x v="2"/>
    <x v="28"/>
    <x v="4"/>
    <n v="39"/>
    <n v="6240"/>
    <x v="27"/>
    <x v="3"/>
    <x v="3"/>
  </r>
  <r>
    <x v="0"/>
    <x v="45"/>
    <x v="1"/>
    <x v="2"/>
    <x v="28"/>
    <x v="4"/>
    <n v="40"/>
    <n v="6400"/>
    <x v="27"/>
    <x v="3"/>
    <x v="3"/>
  </r>
  <r>
    <x v="0"/>
    <x v="46"/>
    <x v="1"/>
    <x v="2"/>
    <x v="28"/>
    <x v="4"/>
    <n v="39"/>
    <n v="6240"/>
    <x v="27"/>
    <x v="3"/>
    <x v="3"/>
  </r>
  <r>
    <x v="0"/>
    <x v="47"/>
    <x v="1"/>
    <x v="2"/>
    <x v="28"/>
    <x v="4"/>
    <n v="39"/>
    <n v="6240"/>
    <x v="27"/>
    <x v="3"/>
    <x v="3"/>
  </r>
  <r>
    <x v="0"/>
    <x v="28"/>
    <x v="1"/>
    <x v="2"/>
    <x v="28"/>
    <x v="4"/>
    <n v="40"/>
    <n v="6400"/>
    <x v="27"/>
    <x v="3"/>
    <x v="3"/>
  </r>
  <r>
    <x v="0"/>
    <x v="29"/>
    <x v="1"/>
    <x v="2"/>
    <x v="28"/>
    <x v="4"/>
    <n v="42"/>
    <n v="6720"/>
    <x v="27"/>
    <x v="3"/>
    <x v="3"/>
  </r>
  <r>
    <x v="1"/>
    <x v="30"/>
    <x v="1"/>
    <x v="2"/>
    <x v="28"/>
    <x v="4"/>
    <n v="16"/>
    <n v="2560"/>
    <x v="27"/>
    <x v="3"/>
    <x v="3"/>
  </r>
  <r>
    <x v="1"/>
    <x v="31"/>
    <x v="1"/>
    <x v="2"/>
    <x v="28"/>
    <x v="4"/>
    <n v="17"/>
    <n v="2720"/>
    <x v="27"/>
    <x v="3"/>
    <x v="3"/>
  </r>
  <r>
    <x v="1"/>
    <x v="32"/>
    <x v="1"/>
    <x v="2"/>
    <x v="28"/>
    <x v="4"/>
    <n v="16"/>
    <n v="2560"/>
    <x v="27"/>
    <x v="3"/>
    <x v="3"/>
  </r>
  <r>
    <x v="1"/>
    <x v="33"/>
    <x v="1"/>
    <x v="2"/>
    <x v="28"/>
    <x v="4"/>
    <n v="17"/>
    <n v="2720"/>
    <x v="27"/>
    <x v="3"/>
    <x v="3"/>
  </r>
  <r>
    <x v="1"/>
    <x v="34"/>
    <x v="1"/>
    <x v="2"/>
    <x v="28"/>
    <x v="4"/>
    <n v="20"/>
    <n v="3200"/>
    <x v="27"/>
    <x v="3"/>
    <x v="3"/>
  </r>
  <r>
    <x v="1"/>
    <x v="35"/>
    <x v="1"/>
    <x v="2"/>
    <x v="28"/>
    <x v="4"/>
    <n v="10"/>
    <n v="1600"/>
    <x v="27"/>
    <x v="3"/>
    <x v="3"/>
  </r>
  <r>
    <x v="0"/>
    <x v="36"/>
    <x v="1"/>
    <x v="5"/>
    <x v="29"/>
    <x v="11"/>
    <n v="40"/>
    <n v="9200"/>
    <x v="0"/>
    <x v="27"/>
    <x v="27"/>
  </r>
  <r>
    <x v="0"/>
    <x v="37"/>
    <x v="1"/>
    <x v="5"/>
    <x v="29"/>
    <x v="11"/>
    <n v="38"/>
    <n v="8740"/>
    <x v="0"/>
    <x v="27"/>
    <x v="27"/>
  </r>
  <r>
    <x v="0"/>
    <x v="38"/>
    <x v="1"/>
    <x v="5"/>
    <x v="29"/>
    <x v="11"/>
    <n v="40"/>
    <n v="9200"/>
    <x v="0"/>
    <x v="27"/>
    <x v="27"/>
  </r>
  <r>
    <x v="0"/>
    <x v="39"/>
    <x v="1"/>
    <x v="5"/>
    <x v="29"/>
    <x v="11"/>
    <n v="38"/>
    <n v="8740"/>
    <x v="0"/>
    <x v="27"/>
    <x v="27"/>
  </r>
  <r>
    <x v="0"/>
    <x v="40"/>
    <x v="1"/>
    <x v="5"/>
    <x v="29"/>
    <x v="11"/>
    <n v="39"/>
    <n v="8970"/>
    <x v="0"/>
    <x v="27"/>
    <x v="27"/>
  </r>
  <r>
    <x v="0"/>
    <x v="41"/>
    <x v="1"/>
    <x v="5"/>
    <x v="29"/>
    <x v="11"/>
    <n v="36"/>
    <n v="8280"/>
    <x v="0"/>
    <x v="27"/>
    <x v="27"/>
  </r>
  <r>
    <x v="0"/>
    <x v="42"/>
    <x v="1"/>
    <x v="5"/>
    <x v="29"/>
    <x v="11"/>
    <n v="37"/>
    <n v="8510"/>
    <x v="0"/>
    <x v="27"/>
    <x v="27"/>
  </r>
  <r>
    <x v="0"/>
    <x v="43"/>
    <x v="1"/>
    <x v="5"/>
    <x v="29"/>
    <x v="11"/>
    <n v="39"/>
    <n v="8970"/>
    <x v="0"/>
    <x v="27"/>
    <x v="27"/>
  </r>
  <r>
    <x v="0"/>
    <x v="44"/>
    <x v="1"/>
    <x v="5"/>
    <x v="29"/>
    <x v="11"/>
    <n v="39"/>
    <n v="8970"/>
    <x v="0"/>
    <x v="27"/>
    <x v="27"/>
  </r>
  <r>
    <x v="0"/>
    <x v="45"/>
    <x v="1"/>
    <x v="5"/>
    <x v="29"/>
    <x v="11"/>
    <n v="40"/>
    <n v="9200"/>
    <x v="0"/>
    <x v="27"/>
    <x v="27"/>
  </r>
  <r>
    <x v="0"/>
    <x v="46"/>
    <x v="1"/>
    <x v="5"/>
    <x v="29"/>
    <x v="11"/>
    <n v="39"/>
    <n v="8970"/>
    <x v="0"/>
    <x v="27"/>
    <x v="27"/>
  </r>
  <r>
    <x v="0"/>
    <x v="47"/>
    <x v="1"/>
    <x v="5"/>
    <x v="29"/>
    <x v="11"/>
    <n v="39"/>
    <n v="8970"/>
    <x v="0"/>
    <x v="27"/>
    <x v="27"/>
  </r>
  <r>
    <x v="0"/>
    <x v="36"/>
    <x v="1"/>
    <x v="6"/>
    <x v="30"/>
    <x v="25"/>
    <n v="40"/>
    <n v="10000"/>
    <x v="28"/>
    <x v="28"/>
    <x v="28"/>
  </r>
  <r>
    <x v="0"/>
    <x v="37"/>
    <x v="1"/>
    <x v="6"/>
    <x v="30"/>
    <x v="25"/>
    <n v="38"/>
    <n v="9500"/>
    <x v="28"/>
    <x v="28"/>
    <x v="28"/>
  </r>
  <r>
    <x v="0"/>
    <x v="38"/>
    <x v="1"/>
    <x v="6"/>
    <x v="30"/>
    <x v="25"/>
    <n v="40"/>
    <n v="10000"/>
    <x v="28"/>
    <x v="28"/>
    <x v="28"/>
  </r>
  <r>
    <x v="0"/>
    <x v="39"/>
    <x v="1"/>
    <x v="6"/>
    <x v="30"/>
    <x v="25"/>
    <n v="38"/>
    <n v="9500"/>
    <x v="28"/>
    <x v="28"/>
    <x v="28"/>
  </r>
  <r>
    <x v="0"/>
    <x v="40"/>
    <x v="1"/>
    <x v="6"/>
    <x v="30"/>
    <x v="25"/>
    <n v="39"/>
    <n v="9750"/>
    <x v="28"/>
    <x v="28"/>
    <x v="28"/>
  </r>
  <r>
    <x v="0"/>
    <x v="41"/>
    <x v="1"/>
    <x v="6"/>
    <x v="30"/>
    <x v="25"/>
    <n v="38"/>
    <n v="9500"/>
    <x v="28"/>
    <x v="28"/>
    <x v="28"/>
  </r>
  <r>
    <x v="0"/>
    <x v="42"/>
    <x v="1"/>
    <x v="6"/>
    <x v="30"/>
    <x v="25"/>
    <n v="37"/>
    <n v="9250"/>
    <x v="28"/>
    <x v="28"/>
    <x v="28"/>
  </r>
  <r>
    <x v="0"/>
    <x v="43"/>
    <x v="1"/>
    <x v="6"/>
    <x v="30"/>
    <x v="25"/>
    <n v="39"/>
    <n v="9750"/>
    <x v="28"/>
    <x v="28"/>
    <x v="28"/>
  </r>
  <r>
    <x v="0"/>
    <x v="44"/>
    <x v="1"/>
    <x v="6"/>
    <x v="30"/>
    <x v="25"/>
    <n v="39"/>
    <n v="9750"/>
    <x v="28"/>
    <x v="28"/>
    <x v="28"/>
  </r>
  <r>
    <x v="0"/>
    <x v="45"/>
    <x v="1"/>
    <x v="6"/>
    <x v="30"/>
    <x v="25"/>
    <n v="40"/>
    <n v="10000"/>
    <x v="28"/>
    <x v="28"/>
    <x v="28"/>
  </r>
  <r>
    <x v="0"/>
    <x v="36"/>
    <x v="1"/>
    <x v="6"/>
    <x v="31"/>
    <x v="10"/>
    <n v="40"/>
    <n v="7400"/>
    <x v="29"/>
    <x v="29"/>
    <x v="29"/>
  </r>
  <r>
    <x v="0"/>
    <x v="37"/>
    <x v="1"/>
    <x v="6"/>
    <x v="31"/>
    <x v="10"/>
    <n v="38"/>
    <n v="7030"/>
    <x v="29"/>
    <x v="29"/>
    <x v="29"/>
  </r>
  <r>
    <x v="0"/>
    <x v="38"/>
    <x v="1"/>
    <x v="6"/>
    <x v="31"/>
    <x v="10"/>
    <n v="40"/>
    <n v="7400"/>
    <x v="29"/>
    <x v="29"/>
    <x v="29"/>
  </r>
  <r>
    <x v="0"/>
    <x v="39"/>
    <x v="1"/>
    <x v="6"/>
    <x v="31"/>
    <x v="10"/>
    <n v="38"/>
    <n v="7030"/>
    <x v="29"/>
    <x v="29"/>
    <x v="29"/>
  </r>
  <r>
    <x v="0"/>
    <x v="40"/>
    <x v="1"/>
    <x v="6"/>
    <x v="31"/>
    <x v="10"/>
    <n v="39"/>
    <n v="7215"/>
    <x v="29"/>
    <x v="29"/>
    <x v="29"/>
  </r>
  <r>
    <x v="0"/>
    <x v="41"/>
    <x v="1"/>
    <x v="6"/>
    <x v="31"/>
    <x v="10"/>
    <n v="37"/>
    <n v="6845"/>
    <x v="29"/>
    <x v="29"/>
    <x v="29"/>
  </r>
  <r>
    <x v="0"/>
    <x v="42"/>
    <x v="1"/>
    <x v="6"/>
    <x v="31"/>
    <x v="10"/>
    <n v="37"/>
    <n v="6845"/>
    <x v="29"/>
    <x v="29"/>
    <x v="29"/>
  </r>
  <r>
    <x v="0"/>
    <x v="43"/>
    <x v="1"/>
    <x v="6"/>
    <x v="31"/>
    <x v="10"/>
    <n v="39"/>
    <n v="7215"/>
    <x v="29"/>
    <x v="29"/>
    <x v="29"/>
  </r>
  <r>
    <x v="0"/>
    <x v="44"/>
    <x v="1"/>
    <x v="6"/>
    <x v="31"/>
    <x v="10"/>
    <n v="39"/>
    <n v="7215"/>
    <x v="29"/>
    <x v="29"/>
    <x v="29"/>
  </r>
  <r>
    <x v="0"/>
    <x v="45"/>
    <x v="1"/>
    <x v="6"/>
    <x v="31"/>
    <x v="10"/>
    <n v="40"/>
    <n v="7400"/>
    <x v="29"/>
    <x v="29"/>
    <x v="29"/>
  </r>
  <r>
    <x v="0"/>
    <x v="46"/>
    <x v="1"/>
    <x v="6"/>
    <x v="31"/>
    <x v="10"/>
    <n v="39"/>
    <n v="7215"/>
    <x v="29"/>
    <x v="29"/>
    <x v="29"/>
  </r>
  <r>
    <x v="0"/>
    <x v="47"/>
    <x v="1"/>
    <x v="6"/>
    <x v="31"/>
    <x v="10"/>
    <n v="39"/>
    <n v="7215"/>
    <x v="29"/>
    <x v="29"/>
    <x v="29"/>
  </r>
  <r>
    <x v="0"/>
    <x v="28"/>
    <x v="1"/>
    <x v="6"/>
    <x v="31"/>
    <x v="10"/>
    <n v="40"/>
    <n v="7400"/>
    <x v="29"/>
    <x v="29"/>
    <x v="29"/>
  </r>
  <r>
    <x v="0"/>
    <x v="29"/>
    <x v="1"/>
    <x v="6"/>
    <x v="31"/>
    <x v="10"/>
    <n v="42"/>
    <n v="7770"/>
    <x v="29"/>
    <x v="29"/>
    <x v="29"/>
  </r>
  <r>
    <x v="0"/>
    <x v="24"/>
    <x v="1"/>
    <x v="7"/>
    <x v="32"/>
    <x v="26"/>
    <n v="30"/>
    <n v="6930"/>
    <x v="13"/>
    <x v="30"/>
    <x v="30"/>
  </r>
  <r>
    <x v="0"/>
    <x v="25"/>
    <x v="1"/>
    <x v="7"/>
    <x v="32"/>
    <x v="26"/>
    <n v="30"/>
    <n v="6930"/>
    <x v="13"/>
    <x v="30"/>
    <x v="30"/>
  </r>
  <r>
    <x v="0"/>
    <x v="26"/>
    <x v="1"/>
    <x v="7"/>
    <x v="32"/>
    <x v="26"/>
    <n v="51"/>
    <n v="11781"/>
    <x v="13"/>
    <x v="30"/>
    <x v="30"/>
  </r>
  <r>
    <x v="0"/>
    <x v="27"/>
    <x v="1"/>
    <x v="7"/>
    <x v="32"/>
    <x v="26"/>
    <n v="53"/>
    <n v="12243"/>
    <x v="13"/>
    <x v="30"/>
    <x v="30"/>
  </r>
  <r>
    <x v="0"/>
    <x v="26"/>
    <x v="1"/>
    <x v="7"/>
    <x v="33"/>
    <x v="27"/>
    <n v="51"/>
    <n v="10659"/>
    <x v="30"/>
    <x v="31"/>
    <x v="31"/>
  </r>
  <r>
    <x v="0"/>
    <x v="27"/>
    <x v="1"/>
    <x v="7"/>
    <x v="33"/>
    <x v="27"/>
    <n v="53"/>
    <n v="11077"/>
    <x v="30"/>
    <x v="31"/>
    <x v="31"/>
  </r>
  <r>
    <x v="0"/>
    <x v="26"/>
    <x v="1"/>
    <x v="13"/>
    <x v="34"/>
    <x v="28"/>
    <n v="51"/>
    <n v="6375"/>
    <x v="31"/>
    <x v="32"/>
    <x v="32"/>
  </r>
  <r>
    <x v="0"/>
    <x v="27"/>
    <x v="1"/>
    <x v="13"/>
    <x v="34"/>
    <x v="28"/>
    <n v="53"/>
    <n v="6625"/>
    <x v="31"/>
    <x v="32"/>
    <x v="32"/>
  </r>
  <r>
    <x v="0"/>
    <x v="24"/>
    <x v="1"/>
    <x v="13"/>
    <x v="35"/>
    <x v="29"/>
    <n v="30"/>
    <n v="4200"/>
    <x v="32"/>
    <x v="33"/>
    <x v="33"/>
  </r>
  <r>
    <x v="0"/>
    <x v="25"/>
    <x v="1"/>
    <x v="13"/>
    <x v="35"/>
    <x v="29"/>
    <n v="30"/>
    <n v="4200"/>
    <x v="32"/>
    <x v="33"/>
    <x v="33"/>
  </r>
  <r>
    <x v="0"/>
    <x v="26"/>
    <x v="1"/>
    <x v="13"/>
    <x v="35"/>
    <x v="29"/>
    <n v="51"/>
    <n v="7140"/>
    <x v="32"/>
    <x v="33"/>
    <x v="33"/>
  </r>
  <r>
    <x v="0"/>
    <x v="27"/>
    <x v="1"/>
    <x v="13"/>
    <x v="35"/>
    <x v="29"/>
    <n v="53"/>
    <n v="7420"/>
    <x v="32"/>
    <x v="33"/>
    <x v="33"/>
  </r>
  <r>
    <x v="0"/>
    <x v="36"/>
    <x v="1"/>
    <x v="13"/>
    <x v="35"/>
    <x v="29"/>
    <n v="40"/>
    <n v="5600"/>
    <x v="32"/>
    <x v="33"/>
    <x v="33"/>
  </r>
  <r>
    <x v="0"/>
    <x v="37"/>
    <x v="1"/>
    <x v="13"/>
    <x v="35"/>
    <x v="29"/>
    <n v="38"/>
    <n v="5320"/>
    <x v="32"/>
    <x v="33"/>
    <x v="33"/>
  </r>
  <r>
    <x v="0"/>
    <x v="38"/>
    <x v="1"/>
    <x v="13"/>
    <x v="35"/>
    <x v="29"/>
    <n v="40"/>
    <n v="5600"/>
    <x v="32"/>
    <x v="33"/>
    <x v="33"/>
  </r>
  <r>
    <x v="0"/>
    <x v="39"/>
    <x v="1"/>
    <x v="13"/>
    <x v="35"/>
    <x v="29"/>
    <n v="38"/>
    <n v="5320"/>
    <x v="32"/>
    <x v="33"/>
    <x v="33"/>
  </r>
  <r>
    <x v="0"/>
    <x v="40"/>
    <x v="1"/>
    <x v="13"/>
    <x v="35"/>
    <x v="29"/>
    <n v="39"/>
    <n v="5460"/>
    <x v="32"/>
    <x v="33"/>
    <x v="33"/>
  </r>
  <r>
    <x v="0"/>
    <x v="41"/>
    <x v="1"/>
    <x v="13"/>
    <x v="35"/>
    <x v="29"/>
    <n v="38"/>
    <n v="5320"/>
    <x v="32"/>
    <x v="33"/>
    <x v="33"/>
  </r>
  <r>
    <x v="0"/>
    <x v="42"/>
    <x v="1"/>
    <x v="13"/>
    <x v="35"/>
    <x v="29"/>
    <n v="37"/>
    <n v="5180"/>
    <x v="32"/>
    <x v="33"/>
    <x v="33"/>
  </r>
  <r>
    <x v="0"/>
    <x v="43"/>
    <x v="1"/>
    <x v="13"/>
    <x v="35"/>
    <x v="29"/>
    <n v="39"/>
    <n v="5460"/>
    <x v="32"/>
    <x v="33"/>
    <x v="33"/>
  </r>
  <r>
    <x v="0"/>
    <x v="44"/>
    <x v="1"/>
    <x v="13"/>
    <x v="35"/>
    <x v="29"/>
    <n v="39"/>
    <n v="5460"/>
    <x v="32"/>
    <x v="33"/>
    <x v="33"/>
  </r>
  <r>
    <x v="0"/>
    <x v="45"/>
    <x v="1"/>
    <x v="13"/>
    <x v="35"/>
    <x v="29"/>
    <n v="40"/>
    <n v="5600"/>
    <x v="32"/>
    <x v="33"/>
    <x v="33"/>
  </r>
  <r>
    <x v="0"/>
    <x v="46"/>
    <x v="1"/>
    <x v="13"/>
    <x v="35"/>
    <x v="29"/>
    <n v="39"/>
    <n v="5460"/>
    <x v="32"/>
    <x v="33"/>
    <x v="33"/>
  </r>
  <r>
    <x v="0"/>
    <x v="47"/>
    <x v="1"/>
    <x v="13"/>
    <x v="35"/>
    <x v="29"/>
    <n v="39"/>
    <n v="5460"/>
    <x v="32"/>
    <x v="33"/>
    <x v="33"/>
  </r>
  <r>
    <x v="0"/>
    <x v="28"/>
    <x v="1"/>
    <x v="13"/>
    <x v="35"/>
    <x v="29"/>
    <n v="40"/>
    <n v="5600"/>
    <x v="32"/>
    <x v="33"/>
    <x v="33"/>
  </r>
  <r>
    <x v="0"/>
    <x v="29"/>
    <x v="1"/>
    <x v="13"/>
    <x v="35"/>
    <x v="29"/>
    <n v="42"/>
    <n v="5880"/>
    <x v="32"/>
    <x v="33"/>
    <x v="33"/>
  </r>
  <r>
    <x v="0"/>
    <x v="36"/>
    <x v="1"/>
    <x v="8"/>
    <x v="36"/>
    <x v="11"/>
    <n v="40"/>
    <n v="9200"/>
    <x v="33"/>
    <x v="3"/>
    <x v="3"/>
  </r>
  <r>
    <x v="0"/>
    <x v="37"/>
    <x v="1"/>
    <x v="8"/>
    <x v="36"/>
    <x v="11"/>
    <n v="38"/>
    <n v="8740"/>
    <x v="33"/>
    <x v="3"/>
    <x v="3"/>
  </r>
  <r>
    <x v="0"/>
    <x v="38"/>
    <x v="1"/>
    <x v="8"/>
    <x v="36"/>
    <x v="11"/>
    <n v="39"/>
    <n v="8970"/>
    <x v="33"/>
    <x v="3"/>
    <x v="3"/>
  </r>
  <r>
    <x v="0"/>
    <x v="39"/>
    <x v="1"/>
    <x v="8"/>
    <x v="36"/>
    <x v="11"/>
    <n v="38"/>
    <n v="8740"/>
    <x v="33"/>
    <x v="3"/>
    <x v="3"/>
  </r>
  <r>
    <x v="1"/>
    <x v="30"/>
    <x v="1"/>
    <x v="8"/>
    <x v="37"/>
    <x v="11"/>
    <n v="16"/>
    <n v="3680"/>
    <x v="34"/>
    <x v="34"/>
    <x v="34"/>
  </r>
  <r>
    <x v="1"/>
    <x v="31"/>
    <x v="1"/>
    <x v="8"/>
    <x v="37"/>
    <x v="11"/>
    <n v="17"/>
    <n v="3910"/>
    <x v="34"/>
    <x v="34"/>
    <x v="34"/>
  </r>
  <r>
    <x v="1"/>
    <x v="32"/>
    <x v="1"/>
    <x v="8"/>
    <x v="37"/>
    <x v="11"/>
    <n v="16"/>
    <n v="3680"/>
    <x v="34"/>
    <x v="34"/>
    <x v="34"/>
  </r>
  <r>
    <x v="1"/>
    <x v="33"/>
    <x v="1"/>
    <x v="8"/>
    <x v="37"/>
    <x v="11"/>
    <n v="17"/>
    <n v="3910"/>
    <x v="34"/>
    <x v="34"/>
    <x v="34"/>
  </r>
  <r>
    <x v="1"/>
    <x v="34"/>
    <x v="1"/>
    <x v="8"/>
    <x v="37"/>
    <x v="11"/>
    <n v="20"/>
    <n v="4600"/>
    <x v="34"/>
    <x v="34"/>
    <x v="34"/>
  </r>
  <r>
    <x v="1"/>
    <x v="35"/>
    <x v="1"/>
    <x v="8"/>
    <x v="37"/>
    <x v="11"/>
    <n v="10"/>
    <n v="2300"/>
    <x v="34"/>
    <x v="34"/>
    <x v="34"/>
  </r>
  <r>
    <x v="0"/>
    <x v="36"/>
    <x v="1"/>
    <x v="8"/>
    <x v="38"/>
    <x v="30"/>
    <n v="40"/>
    <n v="13400"/>
    <x v="35"/>
    <x v="35"/>
    <x v="3"/>
  </r>
  <r>
    <x v="0"/>
    <x v="37"/>
    <x v="1"/>
    <x v="8"/>
    <x v="38"/>
    <x v="30"/>
    <n v="38"/>
    <n v="12730"/>
    <x v="35"/>
    <x v="35"/>
    <x v="3"/>
  </r>
  <r>
    <x v="0"/>
    <x v="38"/>
    <x v="1"/>
    <x v="8"/>
    <x v="38"/>
    <x v="30"/>
    <n v="39"/>
    <n v="13065"/>
    <x v="35"/>
    <x v="35"/>
    <x v="3"/>
  </r>
  <r>
    <x v="0"/>
    <x v="39"/>
    <x v="1"/>
    <x v="8"/>
    <x v="38"/>
    <x v="30"/>
    <n v="38"/>
    <n v="12730"/>
    <x v="35"/>
    <x v="35"/>
    <x v="3"/>
  </r>
  <r>
    <x v="0"/>
    <x v="40"/>
    <x v="1"/>
    <x v="8"/>
    <x v="38"/>
    <x v="30"/>
    <n v="39"/>
    <n v="13065"/>
    <x v="35"/>
    <x v="35"/>
    <x v="3"/>
  </r>
  <r>
    <x v="0"/>
    <x v="41"/>
    <x v="1"/>
    <x v="8"/>
    <x v="38"/>
    <x v="30"/>
    <n v="36"/>
    <n v="12060"/>
    <x v="35"/>
    <x v="35"/>
    <x v="3"/>
  </r>
  <r>
    <x v="0"/>
    <x v="42"/>
    <x v="1"/>
    <x v="8"/>
    <x v="38"/>
    <x v="30"/>
    <n v="37"/>
    <n v="12395"/>
    <x v="35"/>
    <x v="35"/>
    <x v="3"/>
  </r>
  <r>
    <x v="0"/>
    <x v="43"/>
    <x v="1"/>
    <x v="8"/>
    <x v="38"/>
    <x v="30"/>
    <n v="39"/>
    <n v="13065"/>
    <x v="35"/>
    <x v="35"/>
    <x v="3"/>
  </r>
  <r>
    <x v="0"/>
    <x v="36"/>
    <x v="1"/>
    <x v="10"/>
    <x v="39"/>
    <x v="13"/>
    <n v="40"/>
    <n v="11120"/>
    <x v="17"/>
    <x v="36"/>
    <x v="35"/>
  </r>
  <r>
    <x v="0"/>
    <x v="37"/>
    <x v="1"/>
    <x v="10"/>
    <x v="39"/>
    <x v="13"/>
    <n v="38"/>
    <n v="10564"/>
    <x v="17"/>
    <x v="36"/>
    <x v="35"/>
  </r>
  <r>
    <x v="0"/>
    <x v="38"/>
    <x v="1"/>
    <x v="10"/>
    <x v="39"/>
    <x v="13"/>
    <n v="40"/>
    <n v="11120"/>
    <x v="17"/>
    <x v="36"/>
    <x v="35"/>
  </r>
  <r>
    <x v="0"/>
    <x v="39"/>
    <x v="1"/>
    <x v="10"/>
    <x v="39"/>
    <x v="13"/>
    <n v="38"/>
    <n v="10564"/>
    <x v="17"/>
    <x v="36"/>
    <x v="35"/>
  </r>
  <r>
    <x v="0"/>
    <x v="40"/>
    <x v="1"/>
    <x v="10"/>
    <x v="39"/>
    <x v="13"/>
    <n v="39"/>
    <n v="10842"/>
    <x v="17"/>
    <x v="36"/>
    <x v="35"/>
  </r>
  <r>
    <x v="0"/>
    <x v="41"/>
    <x v="1"/>
    <x v="10"/>
    <x v="39"/>
    <x v="13"/>
    <n v="37"/>
    <n v="10286"/>
    <x v="17"/>
    <x v="36"/>
    <x v="35"/>
  </r>
  <r>
    <x v="0"/>
    <x v="42"/>
    <x v="1"/>
    <x v="10"/>
    <x v="39"/>
    <x v="13"/>
    <n v="37"/>
    <n v="10286"/>
    <x v="17"/>
    <x v="36"/>
    <x v="35"/>
  </r>
  <r>
    <x v="0"/>
    <x v="43"/>
    <x v="1"/>
    <x v="10"/>
    <x v="39"/>
    <x v="13"/>
    <n v="39"/>
    <n v="10842"/>
    <x v="17"/>
    <x v="36"/>
    <x v="35"/>
  </r>
  <r>
    <x v="0"/>
    <x v="44"/>
    <x v="1"/>
    <x v="10"/>
    <x v="39"/>
    <x v="13"/>
    <n v="39"/>
    <n v="10842"/>
    <x v="17"/>
    <x v="36"/>
    <x v="35"/>
  </r>
  <r>
    <x v="0"/>
    <x v="45"/>
    <x v="1"/>
    <x v="10"/>
    <x v="39"/>
    <x v="13"/>
    <n v="40"/>
    <n v="11120"/>
    <x v="17"/>
    <x v="36"/>
    <x v="35"/>
  </r>
  <r>
    <x v="0"/>
    <x v="28"/>
    <x v="1"/>
    <x v="10"/>
    <x v="39"/>
    <x v="13"/>
    <n v="40"/>
    <n v="11120"/>
    <x v="17"/>
    <x v="36"/>
    <x v="35"/>
  </r>
  <r>
    <x v="0"/>
    <x v="29"/>
    <x v="1"/>
    <x v="10"/>
    <x v="39"/>
    <x v="13"/>
    <n v="42"/>
    <n v="11676"/>
    <x v="17"/>
    <x v="36"/>
    <x v="35"/>
  </r>
  <r>
    <x v="1"/>
    <x v="30"/>
    <x v="1"/>
    <x v="10"/>
    <x v="39"/>
    <x v="13"/>
    <n v="16"/>
    <n v="4448"/>
    <x v="17"/>
    <x v="36"/>
    <x v="35"/>
  </r>
  <r>
    <x v="1"/>
    <x v="31"/>
    <x v="1"/>
    <x v="10"/>
    <x v="39"/>
    <x v="13"/>
    <n v="17"/>
    <n v="4726"/>
    <x v="17"/>
    <x v="36"/>
    <x v="35"/>
  </r>
  <r>
    <x v="1"/>
    <x v="32"/>
    <x v="1"/>
    <x v="10"/>
    <x v="39"/>
    <x v="13"/>
    <n v="16"/>
    <n v="4448"/>
    <x v="17"/>
    <x v="36"/>
    <x v="35"/>
  </r>
  <r>
    <x v="1"/>
    <x v="33"/>
    <x v="1"/>
    <x v="10"/>
    <x v="39"/>
    <x v="13"/>
    <n v="17"/>
    <n v="4726"/>
    <x v="17"/>
    <x v="36"/>
    <x v="35"/>
  </r>
  <r>
    <x v="1"/>
    <x v="34"/>
    <x v="1"/>
    <x v="10"/>
    <x v="39"/>
    <x v="13"/>
    <n v="20"/>
    <n v="5560"/>
    <x v="17"/>
    <x v="36"/>
    <x v="35"/>
  </r>
  <r>
    <x v="1"/>
    <x v="35"/>
    <x v="1"/>
    <x v="10"/>
    <x v="39"/>
    <x v="13"/>
    <n v="10"/>
    <n v="2780"/>
    <x v="17"/>
    <x v="36"/>
    <x v="35"/>
  </r>
  <r>
    <x v="1"/>
    <x v="30"/>
    <x v="1"/>
    <x v="10"/>
    <x v="30"/>
    <x v="31"/>
    <n v="16"/>
    <n v="4480"/>
    <x v="36"/>
    <x v="37"/>
    <x v="36"/>
  </r>
  <r>
    <x v="1"/>
    <x v="31"/>
    <x v="1"/>
    <x v="10"/>
    <x v="30"/>
    <x v="31"/>
    <n v="17"/>
    <n v="4760"/>
    <x v="36"/>
    <x v="37"/>
    <x v="36"/>
  </r>
  <r>
    <x v="1"/>
    <x v="32"/>
    <x v="1"/>
    <x v="10"/>
    <x v="30"/>
    <x v="31"/>
    <n v="16"/>
    <n v="4480"/>
    <x v="36"/>
    <x v="37"/>
    <x v="36"/>
  </r>
  <r>
    <x v="1"/>
    <x v="33"/>
    <x v="1"/>
    <x v="10"/>
    <x v="30"/>
    <x v="31"/>
    <n v="17"/>
    <n v="4760"/>
    <x v="36"/>
    <x v="37"/>
    <x v="36"/>
  </r>
  <r>
    <x v="1"/>
    <x v="34"/>
    <x v="1"/>
    <x v="10"/>
    <x v="30"/>
    <x v="31"/>
    <n v="20"/>
    <n v="5600"/>
    <x v="36"/>
    <x v="37"/>
    <x v="36"/>
  </r>
  <r>
    <x v="1"/>
    <x v="35"/>
    <x v="1"/>
    <x v="10"/>
    <x v="30"/>
    <x v="31"/>
    <n v="10"/>
    <n v="2800"/>
    <x v="36"/>
    <x v="37"/>
    <x v="36"/>
  </r>
  <r>
    <x v="0"/>
    <x v="36"/>
    <x v="1"/>
    <x v="11"/>
    <x v="40"/>
    <x v="32"/>
    <n v="40"/>
    <n v="7960"/>
    <x v="20"/>
    <x v="38"/>
    <x v="37"/>
  </r>
  <r>
    <x v="0"/>
    <x v="37"/>
    <x v="1"/>
    <x v="11"/>
    <x v="40"/>
    <x v="32"/>
    <n v="38"/>
    <n v="7562"/>
    <x v="20"/>
    <x v="38"/>
    <x v="37"/>
  </r>
  <r>
    <x v="0"/>
    <x v="38"/>
    <x v="1"/>
    <x v="11"/>
    <x v="40"/>
    <x v="32"/>
    <n v="40"/>
    <n v="7960"/>
    <x v="20"/>
    <x v="38"/>
    <x v="37"/>
  </r>
  <r>
    <x v="0"/>
    <x v="39"/>
    <x v="1"/>
    <x v="11"/>
    <x v="40"/>
    <x v="32"/>
    <n v="38"/>
    <n v="7562"/>
    <x v="20"/>
    <x v="38"/>
    <x v="37"/>
  </r>
  <r>
    <x v="0"/>
    <x v="40"/>
    <x v="1"/>
    <x v="11"/>
    <x v="40"/>
    <x v="32"/>
    <n v="39"/>
    <n v="7761"/>
    <x v="20"/>
    <x v="38"/>
    <x v="37"/>
  </r>
  <r>
    <x v="0"/>
    <x v="41"/>
    <x v="1"/>
    <x v="11"/>
    <x v="40"/>
    <x v="32"/>
    <n v="38"/>
    <n v="7562"/>
    <x v="20"/>
    <x v="38"/>
    <x v="37"/>
  </r>
  <r>
    <x v="0"/>
    <x v="42"/>
    <x v="1"/>
    <x v="11"/>
    <x v="40"/>
    <x v="32"/>
    <n v="37"/>
    <n v="7363"/>
    <x v="20"/>
    <x v="38"/>
    <x v="37"/>
  </r>
  <r>
    <x v="0"/>
    <x v="43"/>
    <x v="1"/>
    <x v="11"/>
    <x v="40"/>
    <x v="32"/>
    <n v="39"/>
    <n v="7761"/>
    <x v="20"/>
    <x v="38"/>
    <x v="37"/>
  </r>
  <r>
    <x v="0"/>
    <x v="44"/>
    <x v="1"/>
    <x v="11"/>
    <x v="40"/>
    <x v="32"/>
    <n v="39"/>
    <n v="7761"/>
    <x v="20"/>
    <x v="38"/>
    <x v="37"/>
  </r>
  <r>
    <x v="0"/>
    <x v="45"/>
    <x v="1"/>
    <x v="11"/>
    <x v="40"/>
    <x v="32"/>
    <n v="40"/>
    <n v="7960"/>
    <x v="20"/>
    <x v="38"/>
    <x v="37"/>
  </r>
  <r>
    <x v="0"/>
    <x v="46"/>
    <x v="1"/>
    <x v="11"/>
    <x v="40"/>
    <x v="32"/>
    <n v="39"/>
    <n v="7761"/>
    <x v="20"/>
    <x v="38"/>
    <x v="37"/>
  </r>
  <r>
    <x v="0"/>
    <x v="47"/>
    <x v="1"/>
    <x v="11"/>
    <x v="40"/>
    <x v="32"/>
    <n v="39"/>
    <n v="7761"/>
    <x v="20"/>
    <x v="38"/>
    <x v="37"/>
  </r>
  <r>
    <x v="0"/>
    <x v="28"/>
    <x v="1"/>
    <x v="11"/>
    <x v="40"/>
    <x v="32"/>
    <n v="40"/>
    <n v="7960"/>
    <x v="20"/>
    <x v="38"/>
    <x v="37"/>
  </r>
  <r>
    <x v="0"/>
    <x v="29"/>
    <x v="1"/>
    <x v="11"/>
    <x v="40"/>
    <x v="32"/>
    <n v="42"/>
    <n v="8358"/>
    <x v="20"/>
    <x v="38"/>
    <x v="37"/>
  </r>
  <r>
    <x v="0"/>
    <x v="24"/>
    <x v="1"/>
    <x v="12"/>
    <x v="41"/>
    <x v="1"/>
    <n v="29"/>
    <n v="6612"/>
    <x v="37"/>
    <x v="39"/>
    <x v="38"/>
  </r>
  <r>
    <x v="0"/>
    <x v="25"/>
    <x v="1"/>
    <x v="12"/>
    <x v="41"/>
    <x v="1"/>
    <n v="30"/>
    <n v="6840"/>
    <x v="37"/>
    <x v="39"/>
    <x v="38"/>
  </r>
  <r>
    <x v="0"/>
    <x v="26"/>
    <x v="1"/>
    <x v="12"/>
    <x v="41"/>
    <x v="1"/>
    <n v="51"/>
    <n v="11628"/>
    <x v="37"/>
    <x v="39"/>
    <x v="38"/>
  </r>
  <r>
    <x v="0"/>
    <x v="27"/>
    <x v="1"/>
    <x v="12"/>
    <x v="41"/>
    <x v="1"/>
    <n v="53"/>
    <n v="12084"/>
    <x v="37"/>
    <x v="39"/>
    <x v="38"/>
  </r>
  <r>
    <x v="0"/>
    <x v="24"/>
    <x v="1"/>
    <x v="12"/>
    <x v="42"/>
    <x v="33"/>
    <n v="30"/>
    <n v="7470"/>
    <x v="38"/>
    <x v="40"/>
    <x v="39"/>
  </r>
  <r>
    <x v="0"/>
    <x v="25"/>
    <x v="1"/>
    <x v="12"/>
    <x v="42"/>
    <x v="33"/>
    <n v="30"/>
    <n v="7470"/>
    <x v="38"/>
    <x v="40"/>
    <x v="39"/>
  </r>
  <r>
    <x v="1"/>
    <x v="30"/>
    <x v="1"/>
    <x v="12"/>
    <x v="43"/>
    <x v="17"/>
    <n v="16"/>
    <n v="3488"/>
    <x v="39"/>
    <x v="41"/>
    <x v="40"/>
  </r>
  <r>
    <x v="1"/>
    <x v="31"/>
    <x v="1"/>
    <x v="12"/>
    <x v="43"/>
    <x v="17"/>
    <n v="17"/>
    <n v="3706"/>
    <x v="39"/>
    <x v="41"/>
    <x v="40"/>
  </r>
  <r>
    <x v="1"/>
    <x v="32"/>
    <x v="1"/>
    <x v="12"/>
    <x v="43"/>
    <x v="17"/>
    <n v="16"/>
    <n v="3488"/>
    <x v="39"/>
    <x v="41"/>
    <x v="40"/>
  </r>
  <r>
    <x v="1"/>
    <x v="33"/>
    <x v="1"/>
    <x v="12"/>
    <x v="43"/>
    <x v="17"/>
    <n v="17"/>
    <n v="3706"/>
    <x v="39"/>
    <x v="41"/>
    <x v="40"/>
  </r>
  <r>
    <x v="1"/>
    <x v="34"/>
    <x v="1"/>
    <x v="12"/>
    <x v="43"/>
    <x v="17"/>
    <n v="20"/>
    <n v="4360"/>
    <x v="39"/>
    <x v="41"/>
    <x v="40"/>
  </r>
  <r>
    <x v="1"/>
    <x v="35"/>
    <x v="1"/>
    <x v="12"/>
    <x v="43"/>
    <x v="17"/>
    <n v="10"/>
    <n v="2180"/>
    <x v="39"/>
    <x v="41"/>
    <x v="40"/>
  </r>
  <r>
    <x v="1"/>
    <x v="30"/>
    <x v="1"/>
    <x v="12"/>
    <x v="40"/>
    <x v="34"/>
    <n v="16"/>
    <n v="3280"/>
    <x v="40"/>
    <x v="42"/>
    <x v="41"/>
  </r>
  <r>
    <x v="1"/>
    <x v="31"/>
    <x v="1"/>
    <x v="12"/>
    <x v="40"/>
    <x v="34"/>
    <n v="17"/>
    <n v="3485"/>
    <x v="40"/>
    <x v="42"/>
    <x v="41"/>
  </r>
  <r>
    <x v="1"/>
    <x v="32"/>
    <x v="1"/>
    <x v="12"/>
    <x v="40"/>
    <x v="34"/>
    <n v="16"/>
    <n v="3280"/>
    <x v="40"/>
    <x v="42"/>
    <x v="41"/>
  </r>
  <r>
    <x v="1"/>
    <x v="33"/>
    <x v="1"/>
    <x v="12"/>
    <x v="40"/>
    <x v="34"/>
    <n v="17"/>
    <n v="3485"/>
    <x v="40"/>
    <x v="42"/>
    <x v="41"/>
  </r>
  <r>
    <x v="1"/>
    <x v="34"/>
    <x v="1"/>
    <x v="12"/>
    <x v="40"/>
    <x v="34"/>
    <n v="20"/>
    <n v="4100"/>
    <x v="40"/>
    <x v="42"/>
    <x v="41"/>
  </r>
  <r>
    <x v="1"/>
    <x v="35"/>
    <x v="1"/>
    <x v="12"/>
    <x v="40"/>
    <x v="34"/>
    <n v="10"/>
    <n v="2050"/>
    <x v="40"/>
    <x v="42"/>
    <x v="41"/>
  </r>
  <r>
    <x v="1"/>
    <x v="34"/>
    <x v="1"/>
    <x v="12"/>
    <x v="44"/>
    <x v="35"/>
    <n v="20"/>
    <n v="5080"/>
    <x v="23"/>
    <x v="3"/>
    <x v="3"/>
  </r>
  <r>
    <x v="1"/>
    <x v="48"/>
    <x v="1"/>
    <x v="12"/>
    <x v="44"/>
    <x v="35"/>
    <n v="5"/>
    <n v="1270"/>
    <x v="23"/>
    <x v="3"/>
    <x v="3"/>
  </r>
  <r>
    <x v="1"/>
    <x v="30"/>
    <x v="1"/>
    <x v="12"/>
    <x v="45"/>
    <x v="18"/>
    <n v="16"/>
    <n v="2992"/>
    <x v="22"/>
    <x v="43"/>
    <x v="42"/>
  </r>
  <r>
    <x v="1"/>
    <x v="31"/>
    <x v="1"/>
    <x v="12"/>
    <x v="45"/>
    <x v="18"/>
    <n v="17"/>
    <n v="3179"/>
    <x v="22"/>
    <x v="43"/>
    <x v="42"/>
  </r>
  <r>
    <x v="1"/>
    <x v="32"/>
    <x v="1"/>
    <x v="12"/>
    <x v="45"/>
    <x v="18"/>
    <n v="16"/>
    <n v="2992"/>
    <x v="22"/>
    <x v="43"/>
    <x v="42"/>
  </r>
  <r>
    <x v="1"/>
    <x v="33"/>
    <x v="1"/>
    <x v="12"/>
    <x v="45"/>
    <x v="18"/>
    <n v="17"/>
    <n v="3179"/>
    <x v="22"/>
    <x v="43"/>
    <x v="42"/>
  </r>
  <r>
    <x v="1"/>
    <x v="34"/>
    <x v="1"/>
    <x v="12"/>
    <x v="45"/>
    <x v="18"/>
    <n v="20"/>
    <n v="3740"/>
    <x v="22"/>
    <x v="43"/>
    <x v="42"/>
  </r>
  <r>
    <x v="1"/>
    <x v="35"/>
    <x v="1"/>
    <x v="12"/>
    <x v="45"/>
    <x v="18"/>
    <n v="10"/>
    <n v="1870"/>
    <x v="22"/>
    <x v="43"/>
    <x v="42"/>
  </r>
  <r>
    <x v="0"/>
    <x v="26"/>
    <x v="1"/>
    <x v="12"/>
    <x v="46"/>
    <x v="36"/>
    <n v="51"/>
    <n v="12903"/>
    <x v="41"/>
    <x v="44"/>
    <x v="43"/>
  </r>
  <r>
    <x v="0"/>
    <x v="27"/>
    <x v="1"/>
    <x v="12"/>
    <x v="46"/>
    <x v="36"/>
    <n v="53"/>
    <n v="13409"/>
    <x v="41"/>
    <x v="44"/>
    <x v="43"/>
  </r>
  <r>
    <x v="0"/>
    <x v="49"/>
    <x v="2"/>
    <x v="0"/>
    <x v="47"/>
    <x v="17"/>
    <n v="31"/>
    <n v="6758"/>
    <x v="42"/>
    <x v="45"/>
    <x v="44"/>
  </r>
  <r>
    <x v="0"/>
    <x v="50"/>
    <x v="2"/>
    <x v="0"/>
    <x v="47"/>
    <x v="17"/>
    <n v="31"/>
    <n v="6758"/>
    <x v="42"/>
    <x v="45"/>
    <x v="44"/>
  </r>
  <r>
    <x v="0"/>
    <x v="49"/>
    <x v="2"/>
    <x v="0"/>
    <x v="48"/>
    <x v="7"/>
    <n v="31"/>
    <n v="5208"/>
    <x v="43"/>
    <x v="46"/>
    <x v="45"/>
  </r>
  <r>
    <x v="0"/>
    <x v="50"/>
    <x v="2"/>
    <x v="0"/>
    <x v="48"/>
    <x v="7"/>
    <n v="31"/>
    <n v="5208"/>
    <x v="43"/>
    <x v="46"/>
    <x v="45"/>
  </r>
  <r>
    <x v="0"/>
    <x v="51"/>
    <x v="2"/>
    <x v="0"/>
    <x v="49"/>
    <x v="37"/>
    <n v="40"/>
    <n v="7920"/>
    <x v="43"/>
    <x v="47"/>
    <x v="25"/>
  </r>
  <r>
    <x v="0"/>
    <x v="52"/>
    <x v="2"/>
    <x v="0"/>
    <x v="49"/>
    <x v="37"/>
    <n v="39"/>
    <n v="7722"/>
    <x v="43"/>
    <x v="47"/>
    <x v="25"/>
  </r>
  <r>
    <x v="0"/>
    <x v="49"/>
    <x v="2"/>
    <x v="0"/>
    <x v="50"/>
    <x v="8"/>
    <n v="31"/>
    <n v="6510"/>
    <x v="44"/>
    <x v="48"/>
    <x v="46"/>
  </r>
  <r>
    <x v="0"/>
    <x v="50"/>
    <x v="2"/>
    <x v="0"/>
    <x v="50"/>
    <x v="8"/>
    <n v="31"/>
    <n v="6510"/>
    <x v="44"/>
    <x v="48"/>
    <x v="46"/>
  </r>
  <r>
    <x v="0"/>
    <x v="49"/>
    <x v="2"/>
    <x v="4"/>
    <x v="51"/>
    <x v="28"/>
    <n v="31"/>
    <n v="3875"/>
    <x v="45"/>
    <x v="49"/>
    <x v="47"/>
  </r>
  <r>
    <x v="0"/>
    <x v="50"/>
    <x v="2"/>
    <x v="4"/>
    <x v="51"/>
    <x v="28"/>
    <n v="31"/>
    <n v="3875"/>
    <x v="45"/>
    <x v="49"/>
    <x v="47"/>
  </r>
  <r>
    <x v="0"/>
    <x v="51"/>
    <x v="2"/>
    <x v="4"/>
    <x v="51"/>
    <x v="28"/>
    <n v="40"/>
    <n v="5000"/>
    <x v="45"/>
    <x v="49"/>
    <x v="47"/>
  </r>
  <r>
    <x v="0"/>
    <x v="52"/>
    <x v="2"/>
    <x v="4"/>
    <x v="51"/>
    <x v="28"/>
    <n v="39"/>
    <n v="4875"/>
    <x v="45"/>
    <x v="49"/>
    <x v="47"/>
  </r>
  <r>
    <x v="0"/>
    <x v="53"/>
    <x v="2"/>
    <x v="4"/>
    <x v="51"/>
    <x v="28"/>
    <n v="36"/>
    <n v="4500"/>
    <x v="45"/>
    <x v="49"/>
    <x v="47"/>
  </r>
  <r>
    <x v="0"/>
    <x v="54"/>
    <x v="2"/>
    <x v="4"/>
    <x v="51"/>
    <x v="28"/>
    <n v="36"/>
    <n v="4500"/>
    <x v="45"/>
    <x v="49"/>
    <x v="47"/>
  </r>
  <r>
    <x v="0"/>
    <x v="55"/>
    <x v="2"/>
    <x v="4"/>
    <x v="51"/>
    <x v="28"/>
    <n v="35"/>
    <n v="4375"/>
    <x v="45"/>
    <x v="49"/>
    <x v="47"/>
  </r>
  <r>
    <x v="0"/>
    <x v="56"/>
    <x v="2"/>
    <x v="4"/>
    <x v="51"/>
    <x v="28"/>
    <n v="37"/>
    <n v="4625"/>
    <x v="45"/>
    <x v="49"/>
    <x v="47"/>
  </r>
  <r>
    <x v="0"/>
    <x v="57"/>
    <x v="2"/>
    <x v="4"/>
    <x v="51"/>
    <x v="28"/>
    <n v="36"/>
    <n v="4500"/>
    <x v="45"/>
    <x v="49"/>
    <x v="47"/>
  </r>
  <r>
    <x v="0"/>
    <x v="58"/>
    <x v="2"/>
    <x v="4"/>
    <x v="51"/>
    <x v="28"/>
    <n v="34"/>
    <n v="4250"/>
    <x v="45"/>
    <x v="49"/>
    <x v="47"/>
  </r>
  <r>
    <x v="0"/>
    <x v="59"/>
    <x v="2"/>
    <x v="4"/>
    <x v="51"/>
    <x v="28"/>
    <n v="35"/>
    <n v="4375"/>
    <x v="45"/>
    <x v="49"/>
    <x v="47"/>
  </r>
  <r>
    <x v="0"/>
    <x v="60"/>
    <x v="2"/>
    <x v="4"/>
    <x v="51"/>
    <x v="28"/>
    <n v="35"/>
    <n v="4375"/>
    <x v="45"/>
    <x v="49"/>
    <x v="47"/>
  </r>
  <r>
    <x v="0"/>
    <x v="61"/>
    <x v="2"/>
    <x v="4"/>
    <x v="51"/>
    <x v="28"/>
    <n v="34"/>
    <n v="4250"/>
    <x v="45"/>
    <x v="49"/>
    <x v="47"/>
  </r>
  <r>
    <x v="0"/>
    <x v="62"/>
    <x v="2"/>
    <x v="4"/>
    <x v="51"/>
    <x v="28"/>
    <n v="34"/>
    <n v="4250"/>
    <x v="45"/>
    <x v="49"/>
    <x v="47"/>
  </r>
  <r>
    <x v="0"/>
    <x v="63"/>
    <x v="2"/>
    <x v="4"/>
    <x v="51"/>
    <x v="28"/>
    <n v="37"/>
    <n v="4625"/>
    <x v="45"/>
    <x v="49"/>
    <x v="47"/>
  </r>
  <r>
    <x v="0"/>
    <x v="64"/>
    <x v="2"/>
    <x v="4"/>
    <x v="51"/>
    <x v="28"/>
    <n v="34"/>
    <n v="4250"/>
    <x v="45"/>
    <x v="49"/>
    <x v="47"/>
  </r>
  <r>
    <x v="0"/>
    <x v="65"/>
    <x v="2"/>
    <x v="4"/>
    <x v="51"/>
    <x v="28"/>
    <n v="38"/>
    <n v="4750"/>
    <x v="45"/>
    <x v="49"/>
    <x v="47"/>
  </r>
  <r>
    <x v="0"/>
    <x v="66"/>
    <x v="2"/>
    <x v="4"/>
    <x v="51"/>
    <x v="28"/>
    <n v="38"/>
    <n v="4750"/>
    <x v="45"/>
    <x v="49"/>
    <x v="47"/>
  </r>
  <r>
    <x v="0"/>
    <x v="53"/>
    <x v="2"/>
    <x v="5"/>
    <x v="52"/>
    <x v="9"/>
    <n v="36"/>
    <n v="8640"/>
    <x v="0"/>
    <x v="50"/>
    <x v="48"/>
  </r>
  <r>
    <x v="0"/>
    <x v="54"/>
    <x v="2"/>
    <x v="5"/>
    <x v="52"/>
    <x v="9"/>
    <n v="36"/>
    <n v="8640"/>
    <x v="0"/>
    <x v="50"/>
    <x v="48"/>
  </r>
  <r>
    <x v="0"/>
    <x v="55"/>
    <x v="2"/>
    <x v="5"/>
    <x v="52"/>
    <x v="9"/>
    <n v="35"/>
    <n v="8400"/>
    <x v="0"/>
    <x v="50"/>
    <x v="48"/>
  </r>
  <r>
    <x v="0"/>
    <x v="56"/>
    <x v="2"/>
    <x v="5"/>
    <x v="52"/>
    <x v="9"/>
    <n v="36"/>
    <n v="8640"/>
    <x v="0"/>
    <x v="50"/>
    <x v="48"/>
  </r>
  <r>
    <x v="0"/>
    <x v="57"/>
    <x v="2"/>
    <x v="5"/>
    <x v="52"/>
    <x v="9"/>
    <n v="36"/>
    <n v="8640"/>
    <x v="0"/>
    <x v="50"/>
    <x v="48"/>
  </r>
  <r>
    <x v="0"/>
    <x v="58"/>
    <x v="2"/>
    <x v="5"/>
    <x v="52"/>
    <x v="9"/>
    <n v="34"/>
    <n v="8160"/>
    <x v="0"/>
    <x v="50"/>
    <x v="48"/>
  </r>
  <r>
    <x v="0"/>
    <x v="59"/>
    <x v="2"/>
    <x v="5"/>
    <x v="52"/>
    <x v="9"/>
    <n v="35"/>
    <n v="8400"/>
    <x v="0"/>
    <x v="50"/>
    <x v="48"/>
  </r>
  <r>
    <x v="0"/>
    <x v="60"/>
    <x v="2"/>
    <x v="5"/>
    <x v="52"/>
    <x v="9"/>
    <n v="35"/>
    <n v="8400"/>
    <x v="0"/>
    <x v="50"/>
    <x v="48"/>
  </r>
  <r>
    <x v="0"/>
    <x v="61"/>
    <x v="2"/>
    <x v="5"/>
    <x v="52"/>
    <x v="9"/>
    <n v="34"/>
    <n v="8160"/>
    <x v="0"/>
    <x v="50"/>
    <x v="48"/>
  </r>
  <r>
    <x v="0"/>
    <x v="62"/>
    <x v="2"/>
    <x v="5"/>
    <x v="52"/>
    <x v="9"/>
    <n v="34"/>
    <n v="8160"/>
    <x v="0"/>
    <x v="50"/>
    <x v="48"/>
  </r>
  <r>
    <x v="0"/>
    <x v="63"/>
    <x v="2"/>
    <x v="5"/>
    <x v="52"/>
    <x v="9"/>
    <n v="37"/>
    <n v="8880"/>
    <x v="0"/>
    <x v="50"/>
    <x v="48"/>
  </r>
  <r>
    <x v="0"/>
    <x v="64"/>
    <x v="2"/>
    <x v="5"/>
    <x v="52"/>
    <x v="9"/>
    <n v="34"/>
    <n v="8160"/>
    <x v="0"/>
    <x v="50"/>
    <x v="48"/>
  </r>
  <r>
    <x v="1"/>
    <x v="67"/>
    <x v="2"/>
    <x v="5"/>
    <x v="10"/>
    <x v="8"/>
    <n v="27"/>
    <n v="5670"/>
    <x v="10"/>
    <x v="11"/>
    <x v="11"/>
  </r>
  <r>
    <x v="0"/>
    <x v="51"/>
    <x v="2"/>
    <x v="13"/>
    <x v="53"/>
    <x v="28"/>
    <n v="40"/>
    <n v="5000"/>
    <x v="31"/>
    <x v="51"/>
    <x v="49"/>
  </r>
  <r>
    <x v="0"/>
    <x v="52"/>
    <x v="2"/>
    <x v="13"/>
    <x v="53"/>
    <x v="28"/>
    <n v="39"/>
    <n v="4875"/>
    <x v="31"/>
    <x v="51"/>
    <x v="49"/>
  </r>
  <r>
    <x v="0"/>
    <x v="49"/>
    <x v="2"/>
    <x v="14"/>
    <x v="54"/>
    <x v="38"/>
    <n v="31"/>
    <n v="4495"/>
    <x v="46"/>
    <x v="3"/>
    <x v="3"/>
  </r>
  <r>
    <x v="0"/>
    <x v="50"/>
    <x v="2"/>
    <x v="14"/>
    <x v="54"/>
    <x v="38"/>
    <n v="31"/>
    <n v="4495"/>
    <x v="46"/>
    <x v="3"/>
    <x v="3"/>
  </r>
  <r>
    <x v="0"/>
    <x v="51"/>
    <x v="2"/>
    <x v="14"/>
    <x v="54"/>
    <x v="38"/>
    <n v="40"/>
    <n v="5800"/>
    <x v="46"/>
    <x v="3"/>
    <x v="3"/>
  </r>
  <r>
    <x v="0"/>
    <x v="52"/>
    <x v="2"/>
    <x v="14"/>
    <x v="54"/>
    <x v="38"/>
    <n v="39"/>
    <n v="5655"/>
    <x v="46"/>
    <x v="3"/>
    <x v="3"/>
  </r>
  <r>
    <x v="0"/>
    <x v="53"/>
    <x v="2"/>
    <x v="14"/>
    <x v="54"/>
    <x v="38"/>
    <n v="36"/>
    <n v="5220"/>
    <x v="46"/>
    <x v="3"/>
    <x v="3"/>
  </r>
  <r>
    <x v="0"/>
    <x v="54"/>
    <x v="2"/>
    <x v="14"/>
    <x v="54"/>
    <x v="38"/>
    <n v="36"/>
    <n v="5220"/>
    <x v="46"/>
    <x v="3"/>
    <x v="3"/>
  </r>
  <r>
    <x v="0"/>
    <x v="55"/>
    <x v="2"/>
    <x v="14"/>
    <x v="54"/>
    <x v="38"/>
    <n v="30"/>
    <n v="4350"/>
    <x v="46"/>
    <x v="3"/>
    <x v="3"/>
  </r>
  <r>
    <x v="0"/>
    <x v="56"/>
    <x v="2"/>
    <x v="14"/>
    <x v="54"/>
    <x v="38"/>
    <n v="30"/>
    <n v="4350"/>
    <x v="46"/>
    <x v="3"/>
    <x v="3"/>
  </r>
  <r>
    <x v="0"/>
    <x v="57"/>
    <x v="2"/>
    <x v="14"/>
    <x v="54"/>
    <x v="38"/>
    <n v="36"/>
    <n v="5220"/>
    <x v="46"/>
    <x v="3"/>
    <x v="3"/>
  </r>
  <r>
    <x v="0"/>
    <x v="58"/>
    <x v="2"/>
    <x v="14"/>
    <x v="54"/>
    <x v="38"/>
    <n v="34"/>
    <n v="4930"/>
    <x v="46"/>
    <x v="3"/>
    <x v="3"/>
  </r>
  <r>
    <x v="0"/>
    <x v="59"/>
    <x v="2"/>
    <x v="14"/>
    <x v="54"/>
    <x v="38"/>
    <n v="35"/>
    <n v="5075"/>
    <x v="46"/>
    <x v="3"/>
    <x v="3"/>
  </r>
  <r>
    <x v="0"/>
    <x v="60"/>
    <x v="2"/>
    <x v="14"/>
    <x v="54"/>
    <x v="38"/>
    <n v="35"/>
    <n v="5075"/>
    <x v="46"/>
    <x v="3"/>
    <x v="3"/>
  </r>
  <r>
    <x v="0"/>
    <x v="61"/>
    <x v="2"/>
    <x v="14"/>
    <x v="54"/>
    <x v="38"/>
    <n v="34"/>
    <n v="4930"/>
    <x v="46"/>
    <x v="3"/>
    <x v="3"/>
  </r>
  <r>
    <x v="0"/>
    <x v="62"/>
    <x v="2"/>
    <x v="14"/>
    <x v="54"/>
    <x v="38"/>
    <n v="34"/>
    <n v="4930"/>
    <x v="46"/>
    <x v="3"/>
    <x v="3"/>
  </r>
  <r>
    <x v="0"/>
    <x v="63"/>
    <x v="2"/>
    <x v="14"/>
    <x v="54"/>
    <x v="38"/>
    <n v="37"/>
    <n v="5365"/>
    <x v="46"/>
    <x v="3"/>
    <x v="3"/>
  </r>
  <r>
    <x v="0"/>
    <x v="64"/>
    <x v="2"/>
    <x v="14"/>
    <x v="54"/>
    <x v="38"/>
    <n v="34"/>
    <n v="4930"/>
    <x v="46"/>
    <x v="3"/>
    <x v="3"/>
  </r>
  <r>
    <x v="0"/>
    <x v="65"/>
    <x v="2"/>
    <x v="14"/>
    <x v="54"/>
    <x v="38"/>
    <n v="37"/>
    <n v="5365"/>
    <x v="46"/>
    <x v="3"/>
    <x v="3"/>
  </r>
  <r>
    <x v="0"/>
    <x v="66"/>
    <x v="2"/>
    <x v="14"/>
    <x v="54"/>
    <x v="38"/>
    <n v="38"/>
    <n v="5510"/>
    <x v="46"/>
    <x v="3"/>
    <x v="3"/>
  </r>
  <r>
    <x v="1"/>
    <x v="68"/>
    <x v="2"/>
    <x v="14"/>
    <x v="54"/>
    <x v="38"/>
    <n v="28"/>
    <n v="4060"/>
    <x v="46"/>
    <x v="3"/>
    <x v="3"/>
  </r>
  <r>
    <x v="1"/>
    <x v="69"/>
    <x v="2"/>
    <x v="14"/>
    <x v="54"/>
    <x v="38"/>
    <n v="29"/>
    <n v="4205"/>
    <x v="46"/>
    <x v="3"/>
    <x v="3"/>
  </r>
  <r>
    <x v="1"/>
    <x v="70"/>
    <x v="2"/>
    <x v="14"/>
    <x v="54"/>
    <x v="38"/>
    <n v="26"/>
    <n v="3770"/>
    <x v="46"/>
    <x v="3"/>
    <x v="3"/>
  </r>
  <r>
    <x v="1"/>
    <x v="67"/>
    <x v="2"/>
    <x v="14"/>
    <x v="54"/>
    <x v="38"/>
    <n v="27"/>
    <n v="3915"/>
    <x v="46"/>
    <x v="3"/>
    <x v="3"/>
  </r>
  <r>
    <x v="1"/>
    <x v="68"/>
    <x v="2"/>
    <x v="12"/>
    <x v="55"/>
    <x v="39"/>
    <n v="28"/>
    <n v="6524"/>
    <x v="47"/>
    <x v="52"/>
    <x v="50"/>
  </r>
  <r>
    <x v="1"/>
    <x v="69"/>
    <x v="2"/>
    <x v="12"/>
    <x v="55"/>
    <x v="39"/>
    <n v="29"/>
    <n v="6757"/>
    <x v="47"/>
    <x v="52"/>
    <x v="50"/>
  </r>
  <r>
    <x v="1"/>
    <x v="70"/>
    <x v="2"/>
    <x v="12"/>
    <x v="55"/>
    <x v="39"/>
    <n v="26"/>
    <n v="6058"/>
    <x v="47"/>
    <x v="52"/>
    <x v="50"/>
  </r>
  <r>
    <x v="1"/>
    <x v="67"/>
    <x v="2"/>
    <x v="12"/>
    <x v="55"/>
    <x v="39"/>
    <n v="27"/>
    <n v="6291"/>
    <x v="47"/>
    <x v="52"/>
    <x v="50"/>
  </r>
  <r>
    <x v="1"/>
    <x v="68"/>
    <x v="2"/>
    <x v="12"/>
    <x v="56"/>
    <x v="34"/>
    <n v="28"/>
    <n v="5740"/>
    <x v="40"/>
    <x v="53"/>
    <x v="51"/>
  </r>
  <r>
    <x v="1"/>
    <x v="69"/>
    <x v="2"/>
    <x v="12"/>
    <x v="56"/>
    <x v="34"/>
    <n v="29"/>
    <n v="5945"/>
    <x v="40"/>
    <x v="53"/>
    <x v="51"/>
  </r>
  <r>
    <x v="1"/>
    <x v="70"/>
    <x v="2"/>
    <x v="12"/>
    <x v="56"/>
    <x v="34"/>
    <n v="26"/>
    <n v="5330"/>
    <x v="40"/>
    <x v="53"/>
    <x v="51"/>
  </r>
  <r>
    <x v="1"/>
    <x v="67"/>
    <x v="2"/>
    <x v="12"/>
    <x v="56"/>
    <x v="34"/>
    <n v="27"/>
    <n v="5535"/>
    <x v="40"/>
    <x v="53"/>
    <x v="51"/>
  </r>
  <r>
    <x v="0"/>
    <x v="51"/>
    <x v="2"/>
    <x v="12"/>
    <x v="57"/>
    <x v="40"/>
    <n v="40"/>
    <n v="9640"/>
    <x v="48"/>
    <x v="54"/>
    <x v="52"/>
  </r>
  <r>
    <x v="0"/>
    <x v="52"/>
    <x v="2"/>
    <x v="12"/>
    <x v="57"/>
    <x v="40"/>
    <n v="39"/>
    <n v="9399"/>
    <x v="48"/>
    <x v="54"/>
    <x v="52"/>
  </r>
  <r>
    <x v="0"/>
    <x v="49"/>
    <x v="2"/>
    <x v="12"/>
    <x v="58"/>
    <x v="0"/>
    <n v="31"/>
    <n v="7192"/>
    <x v="38"/>
    <x v="55"/>
    <x v="53"/>
  </r>
  <r>
    <x v="0"/>
    <x v="50"/>
    <x v="2"/>
    <x v="12"/>
    <x v="58"/>
    <x v="0"/>
    <n v="31"/>
    <n v="7192"/>
    <x v="38"/>
    <x v="55"/>
    <x v="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1" cacheId="34" applyNumberFormats="0" applyBorderFormats="0" applyFontFormats="0" applyPatternFormats="0" applyAlignmentFormats="0" applyWidthHeightFormats="1" dataCaption="數值" updatedVersion="4" minRefreshableVersion="3" showDrill="0" showDataTips="0" createdVersion="4" indent="0" compact="0" compactData="0" gridDropZones="1" multipleFieldFilters="0">
  <location ref="A3:I105" firstHeaderRow="1" firstDataRow="2" firstDataCol="7"/>
  <pivotFields count="12">
    <pivotField axis="axisRow" compact="0" outline="0" showAll="0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sertBlankRow="1">
      <items count="16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  <item t="default"/>
      </items>
    </pivotField>
    <pivotField axis="axisRow" compact="0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compact="0" outline="0" showAll="0" defaultSubtotal="0">
      <items count="41">
        <item x="28"/>
        <item x="29"/>
        <item x="12"/>
        <item x="38"/>
        <item x="24"/>
        <item x="6"/>
        <item x="4"/>
        <item x="7"/>
        <item x="21"/>
        <item x="10"/>
        <item x="18"/>
        <item x="16"/>
        <item x="37"/>
        <item x="32"/>
        <item x="3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</items>
    </pivotField>
    <pivotField dataField="1" compact="0" outline="0" showAll="0"/>
    <pivotField dataField="1" compact="0" outline="0" showAll="0"/>
    <pivotField axis="axisRow" compact="0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x="12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</items>
    </pivotField>
    <pivotField axis="axisRow" compact="0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compact="0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compact="0" outline="0" dragToRow="0" dragToCol="0" dragToPage="0" showAll="0" defaultSubtotal="0"/>
  </pivotFields>
  <rowFields count="7">
    <field x="3"/>
    <field x="4"/>
    <field x="8"/>
    <field x="9"/>
    <field x="10"/>
    <field x="5"/>
    <field x="0"/>
  </rowFields>
  <rowItems count="101">
    <i>
      <x/>
      <x v="2"/>
      <x v="45"/>
      <x v="33"/>
      <x v="27"/>
      <x v="20"/>
      <x/>
    </i>
    <i r="1">
      <x v="11"/>
      <x v="14"/>
      <x v="40"/>
      <x v="37"/>
      <x v="25"/>
      <x/>
    </i>
    <i r="1">
      <x v="12"/>
      <x v="14"/>
      <x v="42"/>
      <x v="49"/>
      <x v="29"/>
      <x/>
    </i>
    <i r="1">
      <x v="48"/>
      <x v="50"/>
      <x v="37"/>
      <x v="32"/>
      <x v="22"/>
      <x/>
    </i>
    <i r="1">
      <x v="49"/>
      <x v="4"/>
      <x v="39"/>
      <x v="35"/>
      <x v="21"/>
      <x/>
    </i>
    <i r="1">
      <x v="53"/>
      <x v="39"/>
      <x v="32"/>
      <x v="26"/>
      <x v="7"/>
      <x/>
    </i>
    <i r="1">
      <x v="54"/>
      <x v="39"/>
      <x v="43"/>
      <x v="49"/>
      <x v="12"/>
      <x/>
    </i>
    <i r="1">
      <x v="55"/>
      <x v="3"/>
      <x v="41"/>
      <x v="41"/>
      <x v="18"/>
      <x/>
    </i>
    <i t="default">
      <x/>
    </i>
    <i t="blank">
      <x/>
    </i>
    <i>
      <x v="1"/>
      <x v="32"/>
      <x v="12"/>
      <x v="48"/>
      <x v="46"/>
      <x v="39"/>
      <x/>
    </i>
    <i r="1">
      <x v="43"/>
      <x v="46"/>
      <x v="55"/>
      <x v="54"/>
      <x v="14"/>
      <x/>
    </i>
    <i t="default">
      <x v="1"/>
    </i>
    <i t="blank">
      <x v="1"/>
    </i>
    <i>
      <x v="2"/>
      <x v="26"/>
      <x v="30"/>
      <x v="55"/>
      <x v="54"/>
      <x v="4"/>
      <x v="1"/>
    </i>
    <i r="1">
      <x v="27"/>
      <x v="31"/>
      <x v="17"/>
      <x/>
      <x v="6"/>
      <x v="1"/>
    </i>
    <i r="1">
      <x v="40"/>
      <x v="5"/>
      <x v="55"/>
      <x v="54"/>
      <x v="6"/>
      <x/>
    </i>
    <i r="6">
      <x v="1"/>
    </i>
    <i t="default">
      <x v="2"/>
    </i>
    <i t="blank">
      <x v="2"/>
    </i>
    <i>
      <x v="3"/>
      <x v="35"/>
      <x v="1"/>
      <x v="23"/>
      <x v="11"/>
      <x v="34"/>
      <x/>
    </i>
    <i t="default">
      <x v="3"/>
    </i>
    <i t="blank">
      <x v="3"/>
    </i>
    <i>
      <x v="4"/>
      <x v="3"/>
      <x v="27"/>
      <x v="18"/>
      <x v="1"/>
      <x v="5"/>
      <x/>
    </i>
    <i r="6">
      <x v="1"/>
    </i>
    <i r="1">
      <x v="27"/>
      <x v="48"/>
      <x v="20"/>
      <x v="4"/>
      <x v="7"/>
      <x/>
    </i>
    <i r="1">
      <x v="59"/>
      <x v="43"/>
      <x v="11"/>
      <x v="31"/>
      <x/>
      <x/>
    </i>
    <i t="default">
      <x v="4"/>
    </i>
    <i t="blank">
      <x v="4"/>
    </i>
    <i>
      <x v="5"/>
      <x v="6"/>
      <x v="40"/>
      <x v="54"/>
      <x v="53"/>
      <x v="6"/>
      <x v="1"/>
    </i>
    <i r="1">
      <x v="18"/>
      <x v="14"/>
      <x v="14"/>
      <x v="38"/>
      <x v="18"/>
      <x/>
    </i>
    <i r="1">
      <x v="19"/>
      <x v="14"/>
      <x v="52"/>
      <x v="51"/>
      <x v="27"/>
      <x/>
    </i>
    <i r="1">
      <x v="20"/>
      <x v="14"/>
      <x v="44"/>
      <x v="42"/>
      <x v="23"/>
      <x/>
    </i>
    <i r="1">
      <x v="21"/>
      <x v="2"/>
      <x v="4"/>
      <x v="10"/>
      <x v="27"/>
      <x/>
    </i>
    <i r="6">
      <x v="1"/>
    </i>
    <i r="1">
      <x v="25"/>
      <x v="37"/>
      <x/>
      <x v="2"/>
      <x v="18"/>
      <x v="1"/>
    </i>
    <i t="default">
      <x v="5"/>
    </i>
    <i t="blank">
      <x v="5"/>
    </i>
    <i>
      <x v="6"/>
      <x v="28"/>
      <x v="21"/>
      <x v="46"/>
      <x v="44"/>
      <x v="14"/>
      <x/>
    </i>
    <i r="6">
      <x v="1"/>
    </i>
    <i r="1">
      <x v="37"/>
      <x v="32"/>
      <x v="51"/>
      <x v="50"/>
      <x v="14"/>
      <x/>
    </i>
    <i r="1">
      <x v="41"/>
      <x v="29"/>
      <x v="47"/>
      <x v="45"/>
      <x v="31"/>
      <x/>
    </i>
    <i r="1">
      <x v="46"/>
      <x v="19"/>
      <x v="8"/>
      <x v="21"/>
      <x v="9"/>
      <x/>
    </i>
    <i t="default">
      <x v="6"/>
    </i>
    <i t="blank">
      <x v="6"/>
    </i>
    <i>
      <x v="7"/>
      <x v="15"/>
      <x v="18"/>
      <x v="21"/>
      <x v="5"/>
      <x v="9"/>
      <x/>
    </i>
    <i r="1">
      <x v="16"/>
      <x v="18"/>
      <x v="26"/>
      <x v="14"/>
      <x v="24"/>
      <x/>
    </i>
    <i r="1">
      <x v="36"/>
      <x v="38"/>
      <x v="27"/>
      <x v="15"/>
      <x v="17"/>
      <x/>
    </i>
    <i t="default">
      <x v="7"/>
    </i>
    <i t="blank">
      <x v="7"/>
    </i>
    <i>
      <x v="8"/>
      <x v="33"/>
      <x v="34"/>
      <x v="25"/>
      <x v="13"/>
      <x/>
      <x/>
    </i>
    <i r="1">
      <x v="50"/>
      <x v="34"/>
      <x v="36"/>
      <x v="30"/>
      <x/>
      <x/>
    </i>
    <i r="1">
      <x v="58"/>
      <x v="7"/>
      <x v="9"/>
      <x v="22"/>
      <x v="1"/>
      <x/>
    </i>
    <i t="default">
      <x v="8"/>
    </i>
    <i t="blank">
      <x v="8"/>
    </i>
    <i>
      <x v="9"/>
      <x v="4"/>
      <x v="28"/>
      <x v="55"/>
      <x v="54"/>
      <x v="23"/>
      <x/>
    </i>
    <i r="1">
      <x v="37"/>
      <x v="47"/>
      <x v="15"/>
      <x v="39"/>
      <x v="23"/>
      <x v="1"/>
    </i>
    <i r="1">
      <x v="38"/>
      <x v="17"/>
      <x v="16"/>
      <x v="40"/>
      <x v="23"/>
      <x/>
    </i>
    <i r="1">
      <x v="39"/>
      <x v="10"/>
      <x v="45"/>
      <x v="43"/>
      <x v="23"/>
      <x v="1"/>
    </i>
    <i r="1">
      <x v="42"/>
      <x v="22"/>
      <x v="56"/>
      <x v="54"/>
      <x v="40"/>
      <x/>
    </i>
    <i t="default">
      <x v="9"/>
    </i>
    <i t="blank">
      <x v="9"/>
    </i>
    <i>
      <x v="10"/>
      <x v="47"/>
      <x v="15"/>
      <x v="55"/>
      <x v="54"/>
      <x v="3"/>
      <x/>
    </i>
    <i r="6">
      <x v="1"/>
    </i>
    <i t="default">
      <x v="10"/>
    </i>
    <i t="blank">
      <x v="10"/>
    </i>
    <i>
      <x v="11"/>
      <x v="57"/>
      <x v="13"/>
      <x v="3"/>
      <x v="9"/>
      <x v="2"/>
      <x/>
    </i>
    <i t="default">
      <x v="11"/>
    </i>
    <i t="blank">
      <x v="11"/>
    </i>
    <i>
      <x v="12"/>
      <x v="7"/>
      <x v="20"/>
      <x v="13"/>
      <x v="36"/>
      <x v="36"/>
      <x/>
    </i>
    <i r="6">
      <x v="1"/>
    </i>
    <i r="1">
      <x v="8"/>
      <x v="20"/>
      <x v="12"/>
      <x v="33"/>
      <x v="36"/>
      <x/>
    </i>
    <i r="6">
      <x v="1"/>
    </i>
    <i r="1">
      <x v="41"/>
      <x v="25"/>
      <x v="49"/>
      <x v="47"/>
      <x v="37"/>
      <x v="1"/>
    </i>
    <i t="default">
      <x v="12"/>
    </i>
    <i t="blank">
      <x v="12"/>
    </i>
    <i>
      <x v="13"/>
      <x/>
      <x v="9"/>
      <x v="24"/>
      <x v="12"/>
      <x v="16"/>
      <x/>
    </i>
    <i r="1">
      <x v="9"/>
      <x v="49"/>
      <x v="22"/>
      <x v="8"/>
      <x v="19"/>
      <x/>
    </i>
    <i r="1">
      <x v="13"/>
      <x v="8"/>
      <x v="35"/>
      <x v="29"/>
      <x v="11"/>
      <x/>
    </i>
    <i r="1">
      <x v="23"/>
      <x v="8"/>
      <x v="6"/>
      <x v="19"/>
      <x v="13"/>
      <x/>
    </i>
    <i r="1">
      <x v="34"/>
      <x v="44"/>
      <x v="19"/>
      <x v="3"/>
      <x v="20"/>
      <x/>
    </i>
    <i t="default">
      <x v="13"/>
    </i>
    <i t="blank">
      <x v="13"/>
    </i>
    <i>
      <x v="14"/>
      <x v="1"/>
      <x v="16"/>
      <x v="29"/>
      <x v="18"/>
      <x v="22"/>
      <x/>
    </i>
    <i r="1">
      <x v="5"/>
      <x v="42"/>
      <x v="53"/>
      <x v="52"/>
      <x v="26"/>
      <x v="1"/>
    </i>
    <i r="1">
      <x v="10"/>
      <x v="36"/>
      <x v="28"/>
      <x v="17"/>
      <x v="30"/>
      <x/>
    </i>
    <i r="1">
      <x v="17"/>
      <x v="41"/>
      <x v="50"/>
      <x v="48"/>
      <x v="20"/>
      <x v="1"/>
    </i>
    <i r="1">
      <x v="22"/>
      <x v="6"/>
      <x v="10"/>
      <x v="25"/>
      <x v="15"/>
      <x v="1"/>
    </i>
    <i r="1">
      <x v="23"/>
      <x v="6"/>
      <x v="5"/>
      <x v="16"/>
      <x v="15"/>
      <x v="1"/>
    </i>
    <i r="1">
      <x v="24"/>
      <x v="35"/>
      <x v="2"/>
      <x v="7"/>
      <x v="10"/>
      <x v="1"/>
    </i>
    <i r="1">
      <x v="29"/>
      <x/>
      <x v="55"/>
      <x v="54"/>
      <x v="38"/>
      <x v="1"/>
    </i>
    <i r="1">
      <x v="30"/>
      <x/>
      <x v="55"/>
      <x v="54"/>
      <x v="35"/>
      <x/>
    </i>
    <i r="1">
      <x v="31"/>
      <x/>
      <x v="55"/>
      <x v="54"/>
      <x v="33"/>
      <x v="1"/>
    </i>
    <i r="1">
      <x v="44"/>
      <x v="35"/>
      <x v="7"/>
      <x v="20"/>
      <x v="10"/>
      <x v="1"/>
    </i>
    <i r="1">
      <x v="45"/>
      <x v="23"/>
      <x v="1"/>
      <x v="6"/>
      <x v="8"/>
      <x/>
    </i>
    <i r="1">
      <x v="51"/>
      <x v="11"/>
      <x v="30"/>
      <x v="24"/>
      <x v="32"/>
      <x/>
    </i>
    <i r="1">
      <x v="52"/>
      <x v="24"/>
      <x v="31"/>
      <x v="23"/>
      <x v="28"/>
      <x/>
    </i>
    <i r="1">
      <x v="56"/>
      <x v="36"/>
      <x v="34"/>
      <x v="28"/>
      <x v="25"/>
      <x/>
    </i>
    <i t="default">
      <x v="14"/>
    </i>
    <i t="blank"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數量" fld="6" baseField="0" baseItem="0"/>
    <dataField name="總計金額" fld="7" baseField="0" baseItem="0" numFmtId="3"/>
  </dataFields>
  <formats count="4">
    <format dxfId="320">
      <pivotArea type="all" dataOnly="0" outline="0" fieldPosition="0"/>
    </format>
    <format dxfId="319">
      <pivotArea type="all" dataOnly="0" outline="0" fieldPosition="0"/>
    </format>
    <format dxfId="31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7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2" cacheId="0" applyNumberFormats="0" applyBorderFormats="0" applyFontFormats="0" applyPatternFormats="0" applyAlignmentFormats="0" applyWidthHeightFormats="1" dataCaption="數值" updatedVersion="4" minRefreshableVersion="3" useAutoFormatting="1" itemPrintTitles="1" createdVersion="5" indent="0" outline="1" outlineData="1" multipleFieldFilters="0">
  <location ref="A3:D20" firstHeaderRow="1" firstDataRow="2" firstDataCol="1"/>
  <pivotFields count="13"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dataField="1" numFmtId="3" showAll="0"/>
    <pivotField showAll="0"/>
    <pivotField showAll="0"/>
    <pivotField showAll="0"/>
    <pivotField showAll="0"/>
  </pivotFields>
  <rowFields count="1">
    <field x="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金額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樞紐分析表2" cacheId="34" applyNumberFormats="0" applyBorderFormats="0" applyFontFormats="0" applyPatternFormats="0" applyAlignmentFormats="0" applyWidthHeightFormats="1" dataCaption="數值" updatedVersion="4" minRefreshableVersion="3" showDrill="0" showDataTips="0" rowGrandTotals="0" createdVersion="5" indent="0" compact="0" compactData="0" multipleFieldFilters="0">
  <location ref="A3:CB75" firstHeaderRow="1" firstDataRow="2" firstDataCol="8"/>
  <pivotFields count="12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2">
        <item x="12"/>
        <item x="13"/>
        <item x="14"/>
        <item x="30"/>
        <item x="31"/>
        <item x="32"/>
        <item x="33"/>
        <item x="68"/>
        <item x="69"/>
        <item x="70"/>
        <item x="16"/>
        <item x="23"/>
        <item x="35"/>
        <item x="48"/>
        <item x="15"/>
        <item x="34"/>
        <item x="67"/>
        <item x="4"/>
        <item x="5"/>
        <item x="28"/>
        <item x="29"/>
        <item x="65"/>
        <item x="66"/>
        <item x="0"/>
        <item x="1"/>
        <item x="2"/>
        <item x="3"/>
        <item x="24"/>
        <item x="25"/>
        <item x="26"/>
        <item x="27"/>
        <item x="49"/>
        <item x="50"/>
        <item x="51"/>
        <item x="52"/>
        <item x="8"/>
        <item x="9"/>
        <item x="10"/>
        <item x="11"/>
        <item x="36"/>
        <item x="37"/>
        <item x="38"/>
        <item x="39"/>
        <item x="53"/>
        <item x="54"/>
        <item x="55"/>
        <item x="56"/>
        <item x="17"/>
        <item x="18"/>
        <item x="19"/>
        <item x="20"/>
        <item x="40"/>
        <item x="41"/>
        <item x="42"/>
        <item x="43"/>
        <item x="57"/>
        <item x="58"/>
        <item x="59"/>
        <item x="60"/>
        <item x="21"/>
        <item x="22"/>
        <item x="44"/>
        <item x="45"/>
        <item x="61"/>
        <item x="62"/>
        <item x="6"/>
        <item x="7"/>
        <item x="46"/>
        <item x="47"/>
        <item x="63"/>
        <item x="64"/>
        <item t="default"/>
      </items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</items>
    </pivotField>
    <pivotField axis="axisRow" compact="0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compact="0" outline="0" showAll="0" defaultSubtotal="0">
      <items count="41">
        <item x="28"/>
        <item x="29"/>
        <item x="12"/>
        <item x="38"/>
        <item x="24"/>
        <item x="6"/>
        <item x="4"/>
        <item x="7"/>
        <item x="21"/>
        <item x="10"/>
        <item x="18"/>
        <item x="16"/>
        <item x="37"/>
        <item x="32"/>
        <item x="3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</items>
    </pivotField>
    <pivotField dataField="1" compact="0" outline="0" showAll="0"/>
    <pivotField compact="0" outline="0" showAll="0"/>
    <pivotField axis="axisRow" compact="0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sd="0"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  <item x="12"/>
      </items>
    </pivotField>
    <pivotField axis="axisRow" compact="0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compact="0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compact="0" outline="0" dragToRow="0" dragToCol="0" dragToPage="0" showAll="0" defaultSubtotal="0"/>
  </pivotFields>
  <rowFields count="8">
    <field x="0"/>
    <field x="2"/>
    <field x="4"/>
    <field x="3"/>
    <field x="8"/>
    <field x="9"/>
    <field x="10"/>
    <field x="5"/>
  </rowFields>
  <rowItems count="71">
    <i>
      <x/>
      <x/>
      <x/>
      <x v="13"/>
      <x v="9"/>
      <x v="24"/>
      <x v="12"/>
      <x v="16"/>
    </i>
    <i r="2">
      <x v="3"/>
      <x v="4"/>
      <x v="27"/>
      <x v="18"/>
      <x v="1"/>
      <x v="5"/>
    </i>
    <i r="2">
      <x v="7"/>
      <x v="12"/>
      <x v="20"/>
      <x v="13"/>
      <x v="36"/>
      <x v="36"/>
    </i>
    <i r="2">
      <x v="9"/>
      <x v="13"/>
      <x v="48"/>
      <x v="22"/>
      <x v="8"/>
      <x v="19"/>
    </i>
    <i r="2">
      <x v="11"/>
      <x/>
      <x v="14"/>
      <x v="40"/>
      <x v="37"/>
      <x v="25"/>
    </i>
    <i r="2">
      <x v="13"/>
      <x v="13"/>
      <x v="8"/>
      <x v="35"/>
      <x v="29"/>
      <x v="11"/>
    </i>
    <i r="2">
      <x v="15"/>
      <x v="7"/>
      <x v="18"/>
      <x v="21"/>
      <x v="5"/>
      <x v="9"/>
    </i>
    <i r="2">
      <x v="18"/>
      <x v="5"/>
      <x v="14"/>
      <x v="14"/>
      <x v="38"/>
      <x v="18"/>
    </i>
    <i r="2">
      <x v="21"/>
      <x v="5"/>
      <x v="2"/>
      <x v="4"/>
      <x v="10"/>
      <x v="27"/>
    </i>
    <i r="2">
      <x v="27"/>
      <x v="4"/>
      <x v="47"/>
      <x v="20"/>
      <x v="4"/>
      <x v="7"/>
    </i>
    <i r="2">
      <x v="28"/>
      <x v="6"/>
      <x v="21"/>
      <x v="46"/>
      <x v="44"/>
      <x v="14"/>
    </i>
    <i r="2">
      <x v="30"/>
      <x v="14"/>
      <x/>
      <x v="55"/>
      <x v="54"/>
      <x v="35"/>
    </i>
    <i r="2">
      <x v="32"/>
      <x v="1"/>
      <x v="12"/>
    </i>
    <i r="2">
      <x v="34"/>
      <x v="13"/>
      <x v="43"/>
      <x v="19"/>
      <x v="3"/>
      <x v="20"/>
    </i>
    <i r="2">
      <x v="35"/>
      <x v="3"/>
      <x v="1"/>
      <x v="23"/>
      <x v="11"/>
      <x v="34"/>
    </i>
    <i r="2">
      <x v="37"/>
      <x v="6"/>
      <x v="50"/>
      <x v="51"/>
      <x v="50"/>
      <x v="14"/>
    </i>
    <i r="2">
      <x v="38"/>
      <x v="9"/>
      <x v="17"/>
      <x v="16"/>
      <x v="40"/>
      <x v="23"/>
    </i>
    <i r="2">
      <x v="43"/>
      <x v="1"/>
      <x v="45"/>
      <x v="55"/>
      <x v="54"/>
      <x v="14"/>
    </i>
    <i r="2">
      <x v="45"/>
      <x v="14"/>
      <x v="23"/>
      <x v="1"/>
      <x v="6"/>
      <x v="8"/>
    </i>
    <i r="2">
      <x v="48"/>
      <x/>
      <x v="49"/>
      <x v="37"/>
      <x v="32"/>
      <x v="22"/>
    </i>
    <i r="2">
      <x v="57"/>
      <x v="11"/>
      <x v="13"/>
      <x v="3"/>
      <x v="9"/>
      <x v="2"/>
    </i>
    <i r="1">
      <x v="1"/>
      <x v="1"/>
      <x v="14"/>
      <x v="16"/>
      <x v="29"/>
      <x v="18"/>
      <x v="22"/>
    </i>
    <i r="2">
      <x v="4"/>
      <x v="9"/>
      <x v="28"/>
      <x v="55"/>
      <x v="54"/>
      <x v="23"/>
    </i>
    <i r="2">
      <x v="8"/>
      <x v="12"/>
      <x v="20"/>
      <x v="12"/>
      <x v="33"/>
      <x v="36"/>
    </i>
    <i r="2">
      <x v="10"/>
      <x v="14"/>
      <x v="35"/>
      <x v="28"/>
      <x v="17"/>
      <x v="30"/>
    </i>
    <i r="2">
      <x v="12"/>
      <x/>
      <x v="14"/>
      <x v="42"/>
      <x v="49"/>
      <x v="29"/>
    </i>
    <i r="2">
      <x v="16"/>
      <x v="7"/>
      <x v="18"/>
      <x v="26"/>
      <x v="14"/>
      <x v="24"/>
    </i>
    <i r="2">
      <x v="20"/>
      <x v="5"/>
      <x v="14"/>
      <x v="44"/>
      <x v="42"/>
      <x v="23"/>
    </i>
    <i r="2">
      <x v="23"/>
      <x v="13"/>
      <x v="8"/>
      <x v="6"/>
      <x v="19"/>
      <x v="13"/>
    </i>
    <i r="2">
      <x v="33"/>
      <x v="8"/>
      <x v="33"/>
      <x v="25"/>
      <x v="13"/>
      <x/>
    </i>
    <i r="2">
      <x v="36"/>
      <x v="7"/>
      <x v="37"/>
      <x v="27"/>
      <x v="15"/>
      <x v="17"/>
    </i>
    <i r="2">
      <x v="40"/>
      <x v="2"/>
      <x v="5"/>
      <x v="55"/>
      <x v="54"/>
      <x v="6"/>
    </i>
    <i r="2">
      <x v="41"/>
      <x v="6"/>
      <x v="29"/>
      <x v="47"/>
      <x v="45"/>
      <x v="31"/>
    </i>
    <i r="2">
      <x v="42"/>
      <x v="9"/>
      <x v="22"/>
      <x v="56"/>
      <x v="54"/>
      <x v="40"/>
    </i>
    <i r="2">
      <x v="46"/>
      <x v="6"/>
      <x v="19"/>
      <x v="8"/>
      <x v="21"/>
      <x v="9"/>
    </i>
    <i r="2">
      <x v="49"/>
      <x/>
      <x v="4"/>
      <x v="39"/>
      <x v="35"/>
      <x v="21"/>
    </i>
    <i r="2">
      <x v="51"/>
      <x v="14"/>
      <x v="11"/>
      <x v="30"/>
      <x v="24"/>
      <x v="32"/>
    </i>
    <i r="2">
      <x v="58"/>
      <x v="8"/>
      <x v="7"/>
      <x v="9"/>
      <x v="22"/>
      <x v="1"/>
    </i>
    <i r="1">
      <x v="2"/>
      <x v="2"/>
      <x/>
      <x v="44"/>
      <x v="33"/>
      <x v="27"/>
      <x v="20"/>
    </i>
    <i r="2">
      <x v="19"/>
      <x v="5"/>
      <x v="14"/>
      <x v="52"/>
      <x v="51"/>
      <x v="27"/>
    </i>
    <i r="2">
      <x v="47"/>
      <x v="10"/>
      <x v="15"/>
      <x v="55"/>
      <x v="54"/>
      <x v="3"/>
    </i>
    <i r="2">
      <x v="50"/>
      <x v="8"/>
      <x v="33"/>
      <x v="36"/>
      <x v="30"/>
      <x/>
    </i>
    <i r="2">
      <x v="52"/>
      <x v="14"/>
      <x v="24"/>
      <x v="31"/>
      <x v="23"/>
      <x v="28"/>
    </i>
    <i r="2">
      <x v="53"/>
      <x/>
      <x v="38"/>
      <x v="32"/>
      <x v="26"/>
      <x v="7"/>
    </i>
    <i r="2">
      <x v="54"/>
      <x/>
      <x v="38"/>
      <x v="43"/>
      <x v="49"/>
      <x v="12"/>
    </i>
    <i r="2">
      <x v="55"/>
      <x/>
      <x v="3"/>
      <x v="41"/>
      <x v="41"/>
      <x v="18"/>
    </i>
    <i r="2">
      <x v="56"/>
      <x v="14"/>
      <x v="35"/>
      <x v="34"/>
      <x v="28"/>
      <x v="25"/>
    </i>
    <i r="2">
      <x v="59"/>
      <x v="4"/>
      <x v="42"/>
      <x v="11"/>
      <x v="31"/>
      <x/>
    </i>
    <i>
      <x v="1"/>
      <x/>
      <x v="3"/>
      <x v="4"/>
      <x v="27"/>
      <x v="18"/>
      <x v="1"/>
      <x v="5"/>
    </i>
    <i r="2">
      <x v="6"/>
      <x v="5"/>
      <x v="39"/>
      <x v="54"/>
      <x v="53"/>
      <x v="6"/>
    </i>
    <i r="2">
      <x v="7"/>
      <x v="12"/>
      <x v="20"/>
      <x v="13"/>
      <x v="36"/>
      <x v="36"/>
    </i>
    <i r="2">
      <x v="21"/>
      <x v="5"/>
      <x v="2"/>
      <x v="4"/>
      <x v="10"/>
      <x v="27"/>
    </i>
    <i r="2">
      <x v="24"/>
      <x v="14"/>
      <x v="34"/>
      <x v="2"/>
      <x v="7"/>
      <x v="10"/>
    </i>
    <i r="2">
      <x v="25"/>
      <x v="5"/>
      <x v="36"/>
      <x/>
      <x v="2"/>
      <x v="18"/>
    </i>
    <i r="2">
      <x v="27"/>
      <x v="2"/>
      <x v="31"/>
      <x v="17"/>
      <x/>
      <x v="6"/>
    </i>
    <i r="2">
      <x v="28"/>
      <x v="6"/>
      <x v="21"/>
      <x v="46"/>
      <x v="44"/>
      <x v="14"/>
    </i>
    <i r="2">
      <x v="29"/>
      <x v="14"/>
      <x/>
      <x v="55"/>
      <x v="54"/>
      <x v="38"/>
    </i>
    <i r="2">
      <x v="37"/>
      <x v="9"/>
      <x v="46"/>
      <x v="15"/>
      <x v="39"/>
      <x v="23"/>
    </i>
    <i r="1">
      <x v="1"/>
      <x v="8"/>
      <x v="12"/>
      <x v="20"/>
      <x v="12"/>
      <x v="33"/>
      <x v="36"/>
    </i>
    <i r="2">
      <x v="17"/>
      <x v="14"/>
      <x v="40"/>
      <x v="50"/>
      <x v="48"/>
      <x v="20"/>
    </i>
    <i r="2">
      <x v="23"/>
      <x v="14"/>
      <x v="6"/>
      <x v="5"/>
      <x v="16"/>
      <x v="15"/>
    </i>
    <i r="2">
      <x v="26"/>
      <x v="2"/>
      <x v="30"/>
      <x v="55"/>
      <x v="54"/>
      <x v="4"/>
    </i>
    <i r="2">
      <x v="31"/>
      <x v="14"/>
      <x/>
      <x v="55"/>
      <x v="54"/>
      <x v="33"/>
    </i>
    <i r="2">
      <x v="39"/>
      <x v="9"/>
      <x v="10"/>
      <x v="45"/>
      <x v="43"/>
      <x v="23"/>
    </i>
    <i r="2">
      <x v="40"/>
      <x v="2"/>
      <x v="5"/>
      <x v="55"/>
      <x v="54"/>
      <x v="6"/>
    </i>
    <i r="2">
      <x v="41"/>
      <x v="12"/>
      <x v="25"/>
      <x v="49"/>
      <x v="47"/>
      <x v="37"/>
    </i>
    <i r="2">
      <x v="44"/>
      <x v="14"/>
      <x v="34"/>
      <x v="7"/>
      <x v="20"/>
      <x v="10"/>
    </i>
    <i r="1">
      <x v="2"/>
      <x v="5"/>
      <x v="14"/>
      <x v="41"/>
      <x v="53"/>
      <x v="52"/>
      <x v="26"/>
    </i>
    <i r="2">
      <x v="22"/>
      <x v="14"/>
      <x v="6"/>
      <x v="10"/>
      <x v="25"/>
      <x v="15"/>
    </i>
    <i r="2">
      <x v="25"/>
      <x v="5"/>
      <x v="36"/>
      <x/>
      <x v="2"/>
      <x v="18"/>
    </i>
    <i r="2">
      <x v="47"/>
      <x v="10"/>
      <x v="15"/>
      <x v="55"/>
      <x v="54"/>
      <x v="3"/>
    </i>
  </rowItems>
  <colFields count="1">
    <field x="1"/>
  </colFields>
  <col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colItems>
  <dataFields count="1">
    <dataField name="加總 人數" fld="6" baseField="5" baseItem="17"/>
  </dataFields>
  <formats count="317">
    <format dxfId="31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15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314">
      <pivotArea dataOnly="0" labelOnly="1" grandCol="1" outline="0" fieldPosition="0"/>
    </format>
    <format dxfId="313">
      <pivotArea field="0" type="button" dataOnly="0" labelOnly="1" outline="0" axis="axisRow" fieldPosition="0"/>
    </format>
    <format dxfId="312">
      <pivotArea field="2" type="button" dataOnly="0" labelOnly="1" outline="0" axis="axisRow" fieldPosition="1"/>
    </format>
    <format dxfId="311">
      <pivotArea field="4" type="button" dataOnly="0" labelOnly="1" outline="0" axis="axisRow" fieldPosition="2"/>
    </format>
    <format dxfId="310">
      <pivotArea field="3" type="button" dataOnly="0" labelOnly="1" outline="0" axis="axisRow" fieldPosition="3"/>
    </format>
    <format dxfId="309">
      <pivotArea field="8" type="button" dataOnly="0" labelOnly="1" outline="0" axis="axisRow" fieldPosition="4"/>
    </format>
    <format dxfId="308">
      <pivotArea field="9" type="button" dataOnly="0" labelOnly="1" outline="0" axis="axisRow" fieldPosition="5"/>
    </format>
    <format dxfId="307">
      <pivotArea field="10" type="button" dataOnly="0" labelOnly="1" outline="0" axis="axisRow" fieldPosition="6"/>
    </format>
    <format dxfId="30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>
            <x v="48"/>
          </reference>
        </references>
      </pivotArea>
    </format>
    <format dxfId="30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 selected="0">
            <x v="48"/>
          </reference>
          <reference field="10" count="1">
            <x v="46"/>
          </reference>
        </references>
      </pivotArea>
    </format>
    <format dxfId="304">
      <pivotArea type="all" dataOnly="0" outline="0" fieldPosition="0"/>
    </format>
    <format dxfId="303">
      <pivotArea type="all" dataOnly="0" outline="0" fieldPosition="0"/>
    </format>
    <format dxfId="302">
      <pivotArea type="all" dataOnly="0" outline="0" fieldPosition="0"/>
    </format>
    <format dxfId="301">
      <pivotArea type="all" dataOnly="0" outline="0" fieldPosition="0"/>
    </format>
    <format dxfId="300">
      <pivotArea type="all" dataOnly="0" outline="0" fieldPosition="0"/>
    </format>
    <format dxfId="299">
      <pivotArea field="1" type="button" dataOnly="0" labelOnly="1" outline="0" axis="axisCol" fieldPosition="0"/>
    </format>
    <format dxfId="298">
      <pivotArea field="2" type="button" dataOnly="0" labelOnly="1" outline="0" axis="axisRow" fieldPosition="1"/>
    </format>
    <format dxfId="297">
      <pivotArea type="all" dataOnly="0" outline="0" fieldPosition="0"/>
    </format>
    <format dxfId="296">
      <pivotArea outline="0" collapsedLevelsAreSubtotals="1" fieldPosition="0"/>
    </format>
    <format dxfId="295">
      <pivotArea field="0" type="button" dataOnly="0" labelOnly="1" outline="0" axis="axisRow" fieldPosition="0"/>
    </format>
    <format dxfId="294">
      <pivotArea field="2" type="button" dataOnly="0" labelOnly="1" outline="0" axis="axisRow" fieldPosition="1"/>
    </format>
    <format dxfId="293">
      <pivotArea field="4" type="button" dataOnly="0" labelOnly="1" outline="0" axis="axisRow" fieldPosition="2"/>
    </format>
    <format dxfId="292">
      <pivotArea field="3" type="button" dataOnly="0" labelOnly="1" outline="0" axis="axisRow" fieldPosition="3"/>
    </format>
    <format dxfId="291">
      <pivotArea field="8" type="button" dataOnly="0" labelOnly="1" outline="0" axis="axisRow" fieldPosition="4"/>
    </format>
    <format dxfId="290">
      <pivotArea field="9" type="button" dataOnly="0" labelOnly="1" outline="0" axis="axisRow" fieldPosition="5"/>
    </format>
    <format dxfId="289">
      <pivotArea field="10" type="button" dataOnly="0" labelOnly="1" outline="0" axis="axisRow" fieldPosition="6"/>
    </format>
    <format dxfId="288">
      <pivotArea dataOnly="0" labelOnly="1" outline="0" fieldPosition="0">
        <references count="1">
          <reference field="0" count="0"/>
        </references>
      </pivotArea>
    </format>
    <format dxfId="28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8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85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4" count="21">
            <x v="0"/>
            <x v="3"/>
            <x v="7"/>
            <x v="9"/>
            <x v="11"/>
            <x v="13"/>
            <x v="15"/>
            <x v="18"/>
            <x v="21"/>
            <x v="27"/>
            <x v="28"/>
            <x v="30"/>
            <x v="32"/>
            <x v="34"/>
            <x v="35"/>
            <x v="37"/>
            <x v="38"/>
            <x v="43"/>
            <x v="45"/>
            <x v="48"/>
            <x v="57"/>
          </reference>
        </references>
      </pivotArea>
    </format>
    <format dxfId="28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1"/>
          </reference>
          <reference field="4" count="18">
            <x v="1"/>
            <x v="4"/>
            <x v="8"/>
            <x v="10"/>
            <x v="12"/>
            <x v="14"/>
            <x v="16"/>
            <x v="20"/>
            <x v="23"/>
            <x v="33"/>
            <x v="36"/>
            <x v="40"/>
            <x v="41"/>
            <x v="42"/>
            <x v="46"/>
            <x v="49"/>
            <x v="51"/>
            <x v="58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4" count="10">
            <x v="2"/>
            <x v="19"/>
            <x v="47"/>
            <x v="50"/>
            <x v="52"/>
            <x v="53"/>
            <x v="54"/>
            <x v="55"/>
            <x v="56"/>
            <x v="59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0"/>
          </reference>
          <reference field="4" count="10">
            <x v="3"/>
            <x v="6"/>
            <x v="7"/>
            <x v="21"/>
            <x v="24"/>
            <x v="25"/>
            <x v="27"/>
            <x v="28"/>
            <x v="29"/>
            <x v="37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4" count="9">
            <x v="8"/>
            <x v="17"/>
            <x v="23"/>
            <x v="26"/>
            <x v="31"/>
            <x v="39"/>
            <x v="40"/>
            <x v="41"/>
            <x v="44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2"/>
          </reference>
          <reference field="4" count="4">
            <x v="5"/>
            <x v="22"/>
            <x v="25"/>
            <x v="47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0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3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9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11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13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7"/>
          </reference>
          <reference field="4" count="1" selected="0">
            <x v="15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18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27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30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3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34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3"/>
          </reference>
          <reference field="4" count="1" selected="0">
            <x v="35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37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8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43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45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48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1"/>
          </reference>
          <reference field="4" count="1" selected="0">
            <x v="57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0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12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14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16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5"/>
          </reference>
          <reference field="4" count="1" selected="0">
            <x v="20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23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33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36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1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6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49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51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58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2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19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8"/>
          </reference>
          <reference field="4" count="1" selected="0">
            <x v="50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53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6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4"/>
          </reference>
          <reference field="4" count="1" selected="0">
            <x v="59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6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1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4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2"/>
          </reference>
          <reference field="4" count="1" selected="0">
            <x v="27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9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7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7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26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31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39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41"/>
          </reference>
        </references>
      </pivotArea>
    </format>
    <format dxfId="21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44"/>
          </reference>
        </references>
      </pivotArea>
    </format>
    <format dxfId="21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1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>
            <x v="9"/>
          </reference>
        </references>
      </pivotArea>
    </format>
    <format dxfId="21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7"/>
          </reference>
        </references>
      </pivotArea>
    </format>
    <format dxfId="21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21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>
            <x v="48"/>
          </reference>
        </references>
      </pivotArea>
    </format>
    <format dxfId="21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>
            <x v="14"/>
          </reference>
        </references>
      </pivotArea>
    </format>
    <format dxfId="20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>
            <x v="8"/>
          </reference>
        </references>
      </pivotArea>
    </format>
    <format dxfId="20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>
            <x v="18"/>
          </reference>
        </references>
      </pivotArea>
    </format>
    <format dxfId="20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>
            <x v="14"/>
          </reference>
        </references>
      </pivotArea>
    </format>
    <format dxfId="20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20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>
            <x v="47"/>
          </reference>
        </references>
      </pivotArea>
    </format>
    <format dxfId="20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20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>
            <x v="0"/>
          </reference>
        </references>
      </pivotArea>
    </format>
    <format dxfId="20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>
            <x v="12"/>
          </reference>
        </references>
      </pivotArea>
    </format>
    <format dxfId="20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>
            <x v="43"/>
          </reference>
        </references>
      </pivotArea>
    </format>
    <format dxfId="20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>
            <x v="1"/>
          </reference>
        </references>
      </pivotArea>
    </format>
    <format dxfId="19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>
            <x v="32"/>
          </reference>
        </references>
      </pivotArea>
    </format>
    <format dxfId="19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>
            <x v="17"/>
          </reference>
        </references>
      </pivotArea>
    </format>
    <format dxfId="19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>
            <x v="45"/>
          </reference>
        </references>
      </pivotArea>
    </format>
    <format dxfId="19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>
            <x v="23"/>
          </reference>
        </references>
      </pivotArea>
    </format>
    <format dxfId="19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>
            <x v="49"/>
          </reference>
        </references>
      </pivotArea>
    </format>
    <format dxfId="19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>
            <x v="13"/>
          </reference>
        </references>
      </pivotArea>
    </format>
    <format dxfId="19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>
            <x v="16"/>
          </reference>
        </references>
      </pivotArea>
    </format>
    <format dxfId="19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>
            <x v="28"/>
          </reference>
        </references>
      </pivotArea>
    </format>
    <format dxfId="19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19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>
            <x v="35"/>
          </reference>
        </references>
      </pivotArea>
    </format>
    <format dxfId="18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>
            <x v="14"/>
          </reference>
        </references>
      </pivotArea>
    </format>
    <format dxfId="18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>
            <x v="8"/>
          </reference>
        </references>
      </pivotArea>
    </format>
    <format dxfId="18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>
            <x v="18"/>
          </reference>
        </references>
      </pivotArea>
    </format>
    <format dxfId="18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>
            <x v="14"/>
          </reference>
        </references>
      </pivotArea>
    </format>
    <format dxfId="18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>
            <x v="8"/>
          </reference>
        </references>
      </pivotArea>
    </format>
    <format dxfId="18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>
            <x v="33"/>
          </reference>
        </references>
      </pivotArea>
    </format>
    <format dxfId="18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>
            <x v="37"/>
          </reference>
        </references>
      </pivotArea>
    </format>
    <format dxfId="18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18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>
            <x v="29"/>
          </reference>
        </references>
      </pivotArea>
    </format>
    <format dxfId="18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>
            <x v="22"/>
          </reference>
        </references>
      </pivotArea>
    </format>
    <format dxfId="17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>
            <x v="19"/>
          </reference>
        </references>
      </pivotArea>
    </format>
    <format dxfId="17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>
            <x v="4"/>
          </reference>
        </references>
      </pivotArea>
    </format>
    <format dxfId="17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>
            <x v="11"/>
          </reference>
        </references>
      </pivotArea>
    </format>
    <format dxfId="17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>
            <x v="7"/>
          </reference>
        </references>
      </pivotArea>
    </format>
    <format dxfId="17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>
            <x v="44"/>
          </reference>
        </references>
      </pivotArea>
    </format>
    <format dxfId="17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>
            <x v="14"/>
          </reference>
        </references>
      </pivotArea>
    </format>
    <format dxfId="17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17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>
            <x v="33"/>
          </reference>
        </references>
      </pivotArea>
    </format>
    <format dxfId="17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>
            <x v="24"/>
          </reference>
        </references>
      </pivotArea>
    </format>
    <format dxfId="17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>
            <x v="38"/>
          </reference>
        </references>
      </pivotArea>
    </format>
    <format dxfId="16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>
            <x v="3"/>
          </reference>
        </references>
      </pivotArea>
    </format>
    <format dxfId="16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>
            <x v="35"/>
          </reference>
        </references>
      </pivotArea>
    </format>
    <format dxfId="16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>
            <x v="42"/>
          </reference>
        </references>
      </pivotArea>
    </format>
    <format dxfId="16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6"/>
          </reference>
        </references>
      </pivotArea>
    </format>
    <format dxfId="16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>
            <x v="39"/>
          </reference>
        </references>
      </pivotArea>
    </format>
    <format dxfId="16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16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16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>
            <x v="34"/>
          </reference>
        </references>
      </pivotArea>
    </format>
    <format dxfId="16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16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>
            <x v="31"/>
          </reference>
        </references>
      </pivotArea>
    </format>
    <format dxfId="15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15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>
            <x v="0"/>
          </reference>
        </references>
      </pivotArea>
    </format>
    <format dxfId="15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>
            <x v="46"/>
          </reference>
        </references>
      </pivotArea>
    </format>
    <format dxfId="15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15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>
            <x v="40"/>
          </reference>
        </references>
      </pivotArea>
    </format>
    <format dxfId="15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>
            <x v="6"/>
          </reference>
        </references>
      </pivotArea>
    </format>
    <format dxfId="15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>
            <x v="30"/>
          </reference>
        </references>
      </pivotArea>
    </format>
    <format dxfId="15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31"/>
          </reference>
          <reference field="8" count="1">
            <x v="0"/>
          </reference>
        </references>
      </pivotArea>
    </format>
    <format dxfId="15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>
            <x v="10"/>
          </reference>
        </references>
      </pivotArea>
    </format>
    <format dxfId="15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14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>
            <x v="25"/>
          </reference>
        </references>
      </pivotArea>
    </format>
    <format dxfId="14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>
            <x v="34"/>
          </reference>
        </references>
      </pivotArea>
    </format>
    <format dxfId="14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>
            <x v="41"/>
          </reference>
        </references>
      </pivotArea>
    </format>
    <format dxfId="14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>
            <x v="6"/>
          </reference>
        </references>
      </pivotArea>
    </format>
    <format dxfId="14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14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14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>
            <x v="24"/>
          </reference>
        </references>
      </pivotArea>
    </format>
    <format dxfId="14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>
            <x v="18"/>
          </reference>
        </references>
      </pivotArea>
    </format>
    <format dxfId="14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14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>
            <x v="22"/>
          </reference>
        </references>
      </pivotArea>
    </format>
    <format dxfId="13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>
            <x v="40"/>
          </reference>
        </references>
      </pivotArea>
    </format>
    <format dxfId="13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>
            <x v="35"/>
          </reference>
        </references>
      </pivotArea>
    </format>
    <format dxfId="13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>
            <x v="21"/>
          </reference>
        </references>
      </pivotArea>
    </format>
    <format dxfId="13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>
            <x v="14"/>
          </reference>
        </references>
      </pivotArea>
    </format>
    <format dxfId="13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13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>
            <x v="20"/>
          </reference>
        </references>
      </pivotArea>
    </format>
    <format dxfId="13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13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13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>
            <x v="19"/>
          </reference>
        </references>
      </pivotArea>
    </format>
    <format dxfId="13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>
            <x v="23"/>
          </reference>
        </references>
      </pivotArea>
    </format>
    <format dxfId="12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>
            <x v="51"/>
          </reference>
        </references>
      </pivotArea>
    </format>
    <format dxfId="12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>
            <x v="16"/>
          </reference>
        </references>
      </pivotArea>
    </format>
    <format dxfId="12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>
            <x v="55"/>
          </reference>
        </references>
      </pivotArea>
    </format>
    <format dxfId="12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>
            <x v="1"/>
          </reference>
        </references>
      </pivotArea>
    </format>
    <format dxfId="12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>
            <x v="37"/>
          </reference>
        </references>
      </pivotArea>
    </format>
    <format dxfId="12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>
            <x v="3"/>
          </reference>
        </references>
      </pivotArea>
    </format>
    <format dxfId="12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>
            <x v="29"/>
          </reference>
        </references>
      </pivotArea>
    </format>
    <format dxfId="12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>
            <x v="55"/>
          </reference>
        </references>
      </pivotArea>
    </format>
    <format dxfId="12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12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>
            <x v="28"/>
          </reference>
        </references>
      </pivotArea>
    </format>
    <format dxfId="11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>
            <x v="42"/>
          </reference>
        </references>
      </pivotArea>
    </format>
    <format dxfId="11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>
            <x v="38"/>
          </reference>
        </references>
      </pivotArea>
    </format>
    <format dxfId="11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>
            <x v="26"/>
          </reference>
        </references>
      </pivotArea>
    </format>
    <format dxfId="11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>
            <x v="44"/>
          </reference>
        </references>
      </pivotArea>
    </format>
    <format dxfId="11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>
            <x v="6"/>
          </reference>
        </references>
      </pivotArea>
    </format>
    <format dxfId="11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>
            <x v="25"/>
          </reference>
        </references>
      </pivotArea>
    </format>
    <format dxfId="11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>
            <x v="27"/>
          </reference>
        </references>
      </pivotArea>
    </format>
    <format dxfId="11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11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>
            <x v="47"/>
          </reference>
        </references>
      </pivotArea>
    </format>
    <format dxfId="11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>
            <x v="56"/>
          </reference>
        </references>
      </pivotArea>
    </format>
    <format dxfId="10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>
            <x v="8"/>
          </reference>
        </references>
      </pivotArea>
    </format>
    <format dxfId="10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>
            <x v="39"/>
          </reference>
        </references>
      </pivotArea>
    </format>
    <format dxfId="10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>
            <x v="30"/>
          </reference>
        </references>
      </pivotArea>
    </format>
    <format dxfId="10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>
            <x v="9"/>
          </reference>
        </references>
      </pivotArea>
    </format>
    <format dxfId="10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>
            <x v="33"/>
          </reference>
        </references>
      </pivotArea>
    </format>
    <format dxfId="10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>
            <x v="52"/>
          </reference>
        </references>
      </pivotArea>
    </format>
    <format dxfId="10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10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>
            <x v="36"/>
          </reference>
        </references>
      </pivotArea>
    </format>
    <format dxfId="10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>
            <x v="31"/>
          </reference>
        </references>
      </pivotArea>
    </format>
    <format dxfId="10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>
            <x v="32"/>
          </reference>
        </references>
      </pivotArea>
    </format>
    <format dxfId="9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>
            <x v="43"/>
          </reference>
        </references>
      </pivotArea>
    </format>
    <format dxfId="9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>
            <x v="41"/>
          </reference>
        </references>
      </pivotArea>
    </format>
    <format dxfId="9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>
            <x v="34"/>
          </reference>
        </references>
      </pivotArea>
    </format>
    <format dxfId="9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>
            <x v="11"/>
          </reference>
        </references>
      </pivotArea>
    </format>
    <format dxfId="9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>
            <x v="18"/>
          </reference>
        </references>
      </pivotArea>
    </format>
    <format dxfId="9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>
            <x v="54"/>
          </reference>
        </references>
      </pivotArea>
    </format>
    <format dxfId="9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9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9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>
            <x v="2"/>
          </reference>
        </references>
      </pivotArea>
    </format>
    <format dxfId="9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8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>
            <x v="17"/>
          </reference>
        </references>
      </pivotArea>
    </format>
    <format dxfId="8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8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8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>
            <x v="15"/>
          </reference>
        </references>
      </pivotArea>
    </format>
    <format dxfId="8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8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>
            <x v="50"/>
          </reference>
        </references>
      </pivotArea>
    </format>
    <format dxfId="8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>
            <x v="5"/>
          </reference>
        </references>
      </pivotArea>
    </format>
    <format dxfId="8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>
            <x v="55"/>
          </reference>
        </references>
      </pivotArea>
    </format>
    <format dxfId="8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>
            <x v="45"/>
          </reference>
        </references>
      </pivotArea>
    </format>
    <format dxfId="8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7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>
            <x v="49"/>
          </reference>
        </references>
      </pivotArea>
    </format>
    <format dxfId="7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>
            <x v="7"/>
          </reference>
        </references>
      </pivotArea>
    </format>
    <format dxfId="7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>
            <x v="53"/>
          </reference>
        </references>
      </pivotArea>
    </format>
    <format dxfId="7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>
            <x v="10"/>
          </reference>
        </references>
      </pivotArea>
    </format>
    <format dxfId="7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7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7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 selected="0">
            <x v="24"/>
          </reference>
          <reference field="10" count="1">
            <x v="12"/>
          </reference>
        </references>
      </pivotArea>
    </format>
    <format dxfId="7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7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7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 selected="0">
            <x v="22"/>
          </reference>
          <reference field="10" count="1">
            <x v="8"/>
          </reference>
        </references>
      </pivotArea>
    </format>
    <format dxfId="6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 selected="0">
            <x v="40"/>
          </reference>
          <reference field="10" count="1">
            <x v="37"/>
          </reference>
        </references>
      </pivotArea>
    </format>
    <format dxfId="6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 selected="0">
            <x v="35"/>
          </reference>
          <reference field="10" count="1">
            <x v="29"/>
          </reference>
        </references>
      </pivotArea>
    </format>
    <format dxfId="6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 selected="0">
            <x v="21"/>
          </reference>
          <reference field="10" count="1">
            <x v="5"/>
          </reference>
        </references>
      </pivotArea>
    </format>
    <format dxfId="6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 selected="0">
            <x v="14"/>
          </reference>
          <reference field="10" count="1">
            <x v="38"/>
          </reference>
        </references>
      </pivotArea>
    </format>
    <format dxfId="6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6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 selected="0">
            <x v="20"/>
          </reference>
          <reference field="10" count="1">
            <x v="4"/>
          </reference>
        </references>
      </pivotArea>
    </format>
    <format dxfId="6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6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6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 selected="0">
            <x v="19"/>
          </reference>
          <reference field="10" count="1">
            <x v="3"/>
          </reference>
        </references>
      </pivotArea>
    </format>
    <format dxfId="6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 selected="0">
            <x v="23"/>
          </reference>
          <reference field="10" count="1">
            <x v="11"/>
          </reference>
        </references>
      </pivotArea>
    </format>
    <format dxfId="5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 selected="0">
            <x v="51"/>
          </reference>
          <reference field="10" count="1">
            <x v="50"/>
          </reference>
        </references>
      </pivotArea>
    </format>
    <format dxfId="5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 selected="0">
            <x v="16"/>
          </reference>
          <reference field="10" count="1">
            <x v="40"/>
          </reference>
        </references>
      </pivotArea>
    </format>
    <format dxfId="5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5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 selected="0">
            <x v="1"/>
          </reference>
          <reference field="10" count="1">
            <x v="6"/>
          </reference>
        </references>
      </pivotArea>
    </format>
    <format dxfId="5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 selected="0">
            <x v="37"/>
          </reference>
          <reference field="10" count="1">
            <x v="32"/>
          </reference>
        </references>
      </pivotArea>
    </format>
    <format dxfId="5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 selected="0">
            <x v="3"/>
          </reference>
          <reference field="10" count="1">
            <x v="9"/>
          </reference>
        </references>
      </pivotArea>
    </format>
    <format dxfId="5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 selected="0">
            <x v="29"/>
          </reference>
          <reference field="10" count="1">
            <x v="18"/>
          </reference>
        </references>
      </pivotArea>
    </format>
    <format dxfId="5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5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5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 selected="0">
            <x v="28"/>
          </reference>
          <reference field="10" count="1">
            <x v="17"/>
          </reference>
        </references>
      </pivotArea>
    </format>
    <format dxfId="4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 selected="0">
            <x v="42"/>
          </reference>
          <reference field="10" count="1">
            <x v="49"/>
          </reference>
        </references>
      </pivotArea>
    </format>
    <format dxfId="4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 selected="0">
            <x v="38"/>
          </reference>
          <reference field="10" count="1">
            <x v="34"/>
          </reference>
        </references>
      </pivotArea>
    </format>
    <format dxfId="4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 selected="0">
            <x v="26"/>
          </reference>
          <reference field="10" count="1">
            <x v="14"/>
          </reference>
        </references>
      </pivotArea>
    </format>
    <format dxfId="4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 selected="0">
            <x v="44"/>
          </reference>
          <reference field="10" count="1">
            <x v="42"/>
          </reference>
        </references>
      </pivotArea>
    </format>
    <format dxfId="4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 selected="0">
            <x v="6"/>
          </reference>
          <reference field="10" count="1">
            <x v="19"/>
          </reference>
        </references>
      </pivotArea>
    </format>
    <format dxfId="4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 selected="0">
            <x v="25"/>
          </reference>
          <reference field="10" count="1">
            <x v="13"/>
          </reference>
        </references>
      </pivotArea>
    </format>
    <format dxfId="4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 selected="0">
            <x v="27"/>
          </reference>
          <reference field="10" count="1">
            <x v="15"/>
          </reference>
        </references>
      </pivotArea>
    </format>
    <format dxfId="4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4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 selected="0">
            <x v="47"/>
          </reference>
          <reference field="10" count="1">
            <x v="45"/>
          </reference>
        </references>
      </pivotArea>
    </format>
    <format dxfId="4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 selected="0">
            <x v="56"/>
          </reference>
          <reference field="10" count="1">
            <x v="54"/>
          </reference>
        </references>
      </pivotArea>
    </format>
    <format dxfId="3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 selected="0">
            <x v="8"/>
          </reference>
          <reference field="10" count="1">
            <x v="21"/>
          </reference>
        </references>
      </pivotArea>
    </format>
    <format dxfId="3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 selected="0">
            <x v="39"/>
          </reference>
          <reference field="10" count="1">
            <x v="35"/>
          </reference>
        </references>
      </pivotArea>
    </format>
    <format dxfId="3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 selected="0">
            <x v="30"/>
          </reference>
          <reference field="10" count="1">
            <x v="24"/>
          </reference>
        </references>
      </pivotArea>
    </format>
    <format dxfId="3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 selected="0">
            <x v="9"/>
          </reference>
          <reference field="10" count="1">
            <x v="22"/>
          </reference>
        </references>
      </pivotArea>
    </format>
    <format dxfId="3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 selected="0">
            <x v="33"/>
          </reference>
          <reference field="10" count="1">
            <x v="27"/>
          </reference>
        </references>
      </pivotArea>
    </format>
    <format dxfId="3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 selected="0">
            <x v="52"/>
          </reference>
          <reference field="10" count="1">
            <x v="51"/>
          </reference>
        </references>
      </pivotArea>
    </format>
    <format dxfId="3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3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 selected="0">
            <x v="36"/>
          </reference>
          <reference field="10" count="1">
            <x v="30"/>
          </reference>
        </references>
      </pivotArea>
    </format>
    <format dxfId="3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 selected="0">
            <x v="31"/>
          </reference>
          <reference field="10" count="1">
            <x v="23"/>
          </reference>
        </references>
      </pivotArea>
    </format>
    <format dxfId="3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 selected="0">
            <x v="32"/>
          </reference>
          <reference field="10" count="1">
            <x v="26"/>
          </reference>
        </references>
      </pivotArea>
    </format>
    <format dxfId="2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 selected="0">
            <x v="43"/>
          </reference>
          <reference field="10" count="1">
            <x v="49"/>
          </reference>
        </references>
      </pivotArea>
    </format>
    <format dxfId="2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 selected="0">
            <x v="41"/>
          </reference>
          <reference field="10" count="1">
            <x v="41"/>
          </reference>
        </references>
      </pivotArea>
    </format>
    <format dxfId="2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 selected="0">
            <x v="34"/>
          </reference>
          <reference field="10" count="1">
            <x v="28"/>
          </reference>
        </references>
      </pivotArea>
    </format>
    <format dxfId="2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 selected="0">
            <x v="11"/>
          </reference>
          <reference field="10" count="1">
            <x v="31"/>
          </reference>
        </references>
      </pivotArea>
    </format>
    <format dxfId="2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2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 selected="0">
            <x v="54"/>
          </reference>
          <reference field="10" count="1">
            <x v="53"/>
          </reference>
        </references>
      </pivotArea>
    </format>
    <format dxfId="2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2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2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 selected="0">
            <x v="2"/>
          </reference>
          <reference field="10" count="1">
            <x v="7"/>
          </reference>
        </references>
      </pivotArea>
    </format>
    <format dxfId="2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1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 selected="0">
            <x v="17"/>
          </reference>
          <reference field="10" count="1">
            <x v="0"/>
          </reference>
        </references>
      </pivotArea>
    </format>
    <format dxfId="1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1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 selected="0">
            <x v="15"/>
          </reference>
          <reference field="10" count="1">
            <x v="39"/>
          </reference>
        </references>
      </pivotArea>
    </format>
    <format dxfId="1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1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 selected="0">
            <x v="50"/>
          </reference>
          <reference field="10" count="1">
            <x v="48"/>
          </reference>
        </references>
      </pivotArea>
    </format>
    <format dxfId="1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 selected="0">
            <x v="5"/>
          </reference>
          <reference field="10" count="1">
            <x v="16"/>
          </reference>
        </references>
      </pivotArea>
    </format>
    <format dxfId="1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 selected="0">
            <x v="45"/>
          </reference>
          <reference field="10" count="1">
            <x v="43"/>
          </reference>
        </references>
      </pivotArea>
    </format>
    <format dxfId="1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 selected="0">
            <x v="49"/>
          </reference>
          <reference field="10" count="1">
            <x v="47"/>
          </reference>
        </references>
      </pivotArea>
    </format>
    <format dxfId="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 selected="0">
            <x v="7"/>
          </reference>
          <reference field="10" count="1">
            <x v="20"/>
          </reference>
        </references>
      </pivotArea>
    </format>
    <format dxfId="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 selected="0">
            <x v="53"/>
          </reference>
          <reference field="10" count="1">
            <x v="52"/>
          </reference>
        </references>
      </pivotArea>
    </format>
    <format dxfId="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 selected="0">
            <x v="10"/>
          </reference>
          <reference field="10" count="1">
            <x v="25"/>
          </reference>
        </references>
      </pivotArea>
    </format>
    <format dxfId="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1">
      <pivotArea dataOnly="0" labelOnly="1" grandCol="1" outline="0" fieldPosition="0"/>
    </format>
    <format dxfId="0">
      <pivotArea field="5" type="button" dataOnly="0" labelOnly="1" outline="0" axis="axisRow" fieldPosition="7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書商"/>
  <dimension ref="A1:J26"/>
  <sheetViews>
    <sheetView topLeftCell="E1" zoomScaleNormal="100" workbookViewId="0">
      <pane ySplit="1" topLeftCell="A6" activePane="bottomLeft" state="frozen"/>
      <selection pane="bottomLeft" activeCell="A2" sqref="A2:J26"/>
    </sheetView>
  </sheetViews>
  <sheetFormatPr defaultColWidth="8.1015625" defaultRowHeight="16.25" x14ac:dyDescent="0.45"/>
  <cols>
    <col min="1" max="1" width="8.1015625" style="19"/>
    <col min="2" max="2" width="26.41796875" style="19" customWidth="1"/>
    <col min="3" max="3" width="9.1015625" style="19" bestFit="1" customWidth="1"/>
    <col min="4" max="4" width="7.20703125" style="19" bestFit="1" customWidth="1"/>
    <col min="5" max="5" width="16.7890625" style="19" customWidth="1"/>
    <col min="6" max="6" width="13.68359375" style="19" customWidth="1"/>
    <col min="7" max="7" width="8.41796875" style="19" bestFit="1" customWidth="1"/>
    <col min="8" max="8" width="33" style="19" bestFit="1" customWidth="1"/>
    <col min="9" max="9" width="38.41796875" style="19" bestFit="1" customWidth="1"/>
    <col min="10" max="10" width="12.41796875" style="19" bestFit="1" customWidth="1"/>
    <col min="11" max="16384" width="8.1015625" style="19"/>
  </cols>
  <sheetData>
    <row r="1" spans="1:10" ht="52.15" customHeight="1" x14ac:dyDescent="0.45">
      <c r="A1" s="18" t="s">
        <v>337</v>
      </c>
      <c r="B1" s="18" t="s">
        <v>338</v>
      </c>
      <c r="C1" s="18" t="s">
        <v>339</v>
      </c>
      <c r="D1" s="18" t="s">
        <v>340</v>
      </c>
      <c r="E1" s="18" t="s">
        <v>341</v>
      </c>
      <c r="F1" s="18" t="s">
        <v>342</v>
      </c>
      <c r="G1" s="18" t="s">
        <v>344</v>
      </c>
      <c r="H1" s="18" t="s">
        <v>343</v>
      </c>
      <c r="I1" s="18" t="s">
        <v>345</v>
      </c>
      <c r="J1" s="18" t="s">
        <v>346</v>
      </c>
    </row>
    <row r="2" spans="1:10" x14ac:dyDescent="0.45">
      <c r="A2" s="19" t="s">
        <v>10</v>
      </c>
      <c r="B2" s="19" t="s">
        <v>347</v>
      </c>
      <c r="C2" s="19" t="s">
        <v>348</v>
      </c>
      <c r="D2" s="19" t="s">
        <v>349</v>
      </c>
      <c r="E2" s="19" t="s">
        <v>350</v>
      </c>
      <c r="F2" s="19" t="s">
        <v>351</v>
      </c>
      <c r="G2" s="19">
        <v>104</v>
      </c>
      <c r="H2" s="19" t="s">
        <v>352</v>
      </c>
      <c r="I2" s="19" t="s">
        <v>353</v>
      </c>
      <c r="J2" s="20"/>
    </row>
    <row r="3" spans="1:10" x14ac:dyDescent="0.45">
      <c r="A3" s="19" t="s">
        <v>354</v>
      </c>
      <c r="B3" s="19" t="s">
        <v>355</v>
      </c>
      <c r="C3" s="19" t="s">
        <v>356</v>
      </c>
      <c r="D3" s="19" t="s">
        <v>357</v>
      </c>
      <c r="E3" s="19" t="s">
        <v>358</v>
      </c>
      <c r="F3" s="19" t="s">
        <v>359</v>
      </c>
      <c r="G3" s="19">
        <v>106</v>
      </c>
      <c r="H3" s="19" t="s">
        <v>360</v>
      </c>
      <c r="I3" s="19" t="s">
        <v>361</v>
      </c>
      <c r="J3" s="20"/>
    </row>
    <row r="4" spans="1:10" x14ac:dyDescent="0.45">
      <c r="A4" s="19" t="s">
        <v>87</v>
      </c>
      <c r="B4" s="19" t="s">
        <v>362</v>
      </c>
      <c r="C4" s="19" t="s">
        <v>356</v>
      </c>
      <c r="D4" s="19" t="s">
        <v>563</v>
      </c>
      <c r="E4" s="19" t="s">
        <v>564</v>
      </c>
      <c r="F4" s="19" t="s">
        <v>363</v>
      </c>
      <c r="G4" s="19">
        <v>243</v>
      </c>
      <c r="H4" s="19" t="s">
        <v>364</v>
      </c>
      <c r="J4" s="20"/>
    </row>
    <row r="5" spans="1:10" x14ac:dyDescent="0.45">
      <c r="A5" s="19" t="s">
        <v>161</v>
      </c>
      <c r="B5" s="19" t="s">
        <v>365</v>
      </c>
      <c r="C5" s="19" t="s">
        <v>348</v>
      </c>
      <c r="D5" s="19" t="s">
        <v>366</v>
      </c>
      <c r="E5" s="19" t="s">
        <v>367</v>
      </c>
      <c r="F5" s="19" t="s">
        <v>368</v>
      </c>
      <c r="G5" s="19">
        <v>100</v>
      </c>
      <c r="H5" s="19" t="s">
        <v>369</v>
      </c>
      <c r="I5" s="19" t="s">
        <v>370</v>
      </c>
      <c r="J5" s="20"/>
    </row>
    <row r="6" spans="1:10" x14ac:dyDescent="0.45">
      <c r="A6" s="19" t="s">
        <v>32</v>
      </c>
      <c r="B6" s="19" t="s">
        <v>371</v>
      </c>
      <c r="C6" s="19" t="s">
        <v>356</v>
      </c>
      <c r="D6" s="19" t="s">
        <v>372</v>
      </c>
      <c r="E6" s="19" t="s">
        <v>373</v>
      </c>
      <c r="F6" s="19" t="s">
        <v>374</v>
      </c>
      <c r="G6" s="19">
        <v>236</v>
      </c>
      <c r="H6" s="19" t="s">
        <v>375</v>
      </c>
      <c r="I6" s="19" t="s">
        <v>376</v>
      </c>
      <c r="J6" s="20"/>
    </row>
    <row r="7" spans="1:10" x14ac:dyDescent="0.45">
      <c r="A7" s="19" t="s">
        <v>46</v>
      </c>
      <c r="B7" s="19" t="s">
        <v>377</v>
      </c>
      <c r="C7" s="19" t="s">
        <v>348</v>
      </c>
      <c r="D7" s="19" t="s">
        <v>378</v>
      </c>
      <c r="E7" s="19" t="s">
        <v>379</v>
      </c>
      <c r="F7" s="19" t="s">
        <v>380</v>
      </c>
      <c r="G7" s="19">
        <v>407</v>
      </c>
      <c r="H7" s="19" t="s">
        <v>381</v>
      </c>
      <c r="I7" s="19" t="s">
        <v>382</v>
      </c>
      <c r="J7" s="20"/>
    </row>
    <row r="8" spans="1:10" x14ac:dyDescent="0.45">
      <c r="A8" s="19" t="s">
        <v>61</v>
      </c>
      <c r="B8" s="19" t="s">
        <v>383</v>
      </c>
      <c r="C8" s="19" t="s">
        <v>348</v>
      </c>
      <c r="D8" s="19" t="s">
        <v>349</v>
      </c>
      <c r="E8" s="19" t="s">
        <v>350</v>
      </c>
      <c r="F8" s="19" t="s">
        <v>351</v>
      </c>
      <c r="G8" s="19">
        <v>104</v>
      </c>
      <c r="H8" s="19" t="s">
        <v>352</v>
      </c>
      <c r="I8" s="19" t="s">
        <v>353</v>
      </c>
      <c r="J8" s="20"/>
    </row>
    <row r="9" spans="1:10" x14ac:dyDescent="0.45">
      <c r="A9" s="19" t="s">
        <v>384</v>
      </c>
      <c r="B9" s="19" t="s">
        <v>385</v>
      </c>
      <c r="C9" s="19" t="s">
        <v>356</v>
      </c>
      <c r="D9" s="19" t="s">
        <v>386</v>
      </c>
      <c r="E9" s="19" t="s">
        <v>387</v>
      </c>
      <c r="F9" s="19" t="s">
        <v>388</v>
      </c>
      <c r="G9" s="19">
        <v>220</v>
      </c>
      <c r="H9" s="19" t="s">
        <v>389</v>
      </c>
      <c r="J9" s="20" t="s">
        <v>390</v>
      </c>
    </row>
    <row r="10" spans="1:10" x14ac:dyDescent="0.45">
      <c r="A10" s="19" t="s">
        <v>74</v>
      </c>
      <c r="B10" s="19" t="s">
        <v>391</v>
      </c>
      <c r="C10" s="19" t="s">
        <v>348</v>
      </c>
      <c r="D10" s="19" t="s">
        <v>349</v>
      </c>
      <c r="E10" s="19" t="s">
        <v>392</v>
      </c>
      <c r="F10" s="19" t="s">
        <v>393</v>
      </c>
      <c r="G10" s="19">
        <v>406</v>
      </c>
      <c r="H10" s="19" t="s">
        <v>394</v>
      </c>
      <c r="I10" s="19" t="s">
        <v>395</v>
      </c>
      <c r="J10" s="20"/>
    </row>
    <row r="11" spans="1:10" x14ac:dyDescent="0.45">
      <c r="A11" s="19" t="s">
        <v>27</v>
      </c>
      <c r="B11" s="19" t="s">
        <v>396</v>
      </c>
      <c r="C11" s="19" t="s">
        <v>348</v>
      </c>
      <c r="D11" s="19" t="s">
        <v>397</v>
      </c>
      <c r="E11" s="19" t="s">
        <v>398</v>
      </c>
      <c r="F11" s="19" t="s">
        <v>399</v>
      </c>
      <c r="G11" s="19">
        <v>428</v>
      </c>
      <c r="H11" s="19" t="s">
        <v>400</v>
      </c>
      <c r="I11" s="19" t="s">
        <v>401</v>
      </c>
      <c r="J11" s="20"/>
    </row>
    <row r="12" spans="1:10" x14ac:dyDescent="0.45">
      <c r="A12" s="19" t="s">
        <v>128</v>
      </c>
      <c r="B12" s="19" t="s">
        <v>402</v>
      </c>
      <c r="C12" s="19" t="s">
        <v>348</v>
      </c>
      <c r="D12" s="19" t="s">
        <v>403</v>
      </c>
      <c r="E12" s="19" t="s">
        <v>404</v>
      </c>
      <c r="F12" s="19" t="s">
        <v>405</v>
      </c>
      <c r="G12" s="19">
        <v>241</v>
      </c>
      <c r="H12" s="19" t="s">
        <v>406</v>
      </c>
      <c r="I12" s="19" t="s">
        <v>407</v>
      </c>
      <c r="J12" s="20" t="s">
        <v>408</v>
      </c>
    </row>
    <row r="13" spans="1:10" x14ac:dyDescent="0.45">
      <c r="A13" s="19" t="s">
        <v>78</v>
      </c>
      <c r="B13" s="19" t="s">
        <v>409</v>
      </c>
      <c r="C13" s="19" t="s">
        <v>348</v>
      </c>
      <c r="D13" s="19" t="s">
        <v>349</v>
      </c>
      <c r="E13" s="19" t="s">
        <v>565</v>
      </c>
      <c r="F13" s="19" t="s">
        <v>410</v>
      </c>
      <c r="G13" s="19">
        <v>106</v>
      </c>
      <c r="H13" s="19" t="s">
        <v>411</v>
      </c>
      <c r="I13" s="19" t="s">
        <v>412</v>
      </c>
      <c r="J13" s="20" t="s">
        <v>413</v>
      </c>
    </row>
    <row r="14" spans="1:10" x14ac:dyDescent="0.45">
      <c r="A14" s="19" t="s">
        <v>414</v>
      </c>
      <c r="B14" s="19" t="s">
        <v>415</v>
      </c>
      <c r="C14" s="19" t="s">
        <v>356</v>
      </c>
      <c r="D14" s="19" t="s">
        <v>386</v>
      </c>
      <c r="E14" s="19" t="s">
        <v>416</v>
      </c>
      <c r="F14" s="19" t="s">
        <v>417</v>
      </c>
      <c r="G14" s="19">
        <v>248</v>
      </c>
      <c r="H14" s="19" t="s">
        <v>418</v>
      </c>
      <c r="J14" s="20"/>
    </row>
    <row r="15" spans="1:10" x14ac:dyDescent="0.45">
      <c r="A15" s="19" t="s">
        <v>419</v>
      </c>
      <c r="B15" s="19" t="s">
        <v>420</v>
      </c>
      <c r="C15" s="19" t="s">
        <v>356</v>
      </c>
      <c r="D15" s="19" t="s">
        <v>349</v>
      </c>
      <c r="E15" s="19" t="s">
        <v>392</v>
      </c>
      <c r="F15" s="19" t="s">
        <v>393</v>
      </c>
      <c r="G15" s="19">
        <v>406</v>
      </c>
      <c r="H15" s="19" t="s">
        <v>394</v>
      </c>
      <c r="I15" s="19" t="s">
        <v>395</v>
      </c>
      <c r="J15" s="20"/>
    </row>
    <row r="16" spans="1:10" x14ac:dyDescent="0.45">
      <c r="A16" s="19" t="s">
        <v>421</v>
      </c>
      <c r="B16" s="19" t="s">
        <v>422</v>
      </c>
      <c r="C16" s="19" t="s">
        <v>356</v>
      </c>
      <c r="D16" s="19" t="s">
        <v>386</v>
      </c>
      <c r="E16" s="19" t="s">
        <v>423</v>
      </c>
      <c r="F16" s="19" t="s">
        <v>424</v>
      </c>
      <c r="G16" s="19">
        <v>104</v>
      </c>
      <c r="H16" s="19" t="s">
        <v>425</v>
      </c>
      <c r="I16" s="19" t="s">
        <v>426</v>
      </c>
      <c r="J16" s="20"/>
    </row>
    <row r="17" spans="1:10" x14ac:dyDescent="0.45">
      <c r="A17" s="19" t="s">
        <v>41</v>
      </c>
      <c r="B17" s="19" t="s">
        <v>427</v>
      </c>
      <c r="C17" s="19" t="s">
        <v>348</v>
      </c>
      <c r="D17" s="19" t="s">
        <v>428</v>
      </c>
      <c r="E17" s="19" t="s">
        <v>429</v>
      </c>
      <c r="F17" s="19" t="s">
        <v>430</v>
      </c>
      <c r="G17" s="19">
        <v>106</v>
      </c>
      <c r="H17" s="19" t="s">
        <v>431</v>
      </c>
      <c r="I17" s="19" t="s">
        <v>432</v>
      </c>
      <c r="J17" s="20"/>
    </row>
    <row r="18" spans="1:10" x14ac:dyDescent="0.45">
      <c r="A18" s="19" t="s">
        <v>433</v>
      </c>
      <c r="B18" s="19" t="s">
        <v>434</v>
      </c>
      <c r="C18" s="19" t="s">
        <v>356</v>
      </c>
      <c r="E18" s="19" t="s">
        <v>435</v>
      </c>
      <c r="J18" s="20" t="s">
        <v>436</v>
      </c>
    </row>
    <row r="19" spans="1:10" x14ac:dyDescent="0.45">
      <c r="A19" s="19" t="s">
        <v>437</v>
      </c>
      <c r="B19" s="19" t="s">
        <v>438</v>
      </c>
      <c r="C19" s="19" t="s">
        <v>356</v>
      </c>
      <c r="E19" s="19" t="s">
        <v>439</v>
      </c>
      <c r="F19" s="19" t="s">
        <v>440</v>
      </c>
      <c r="G19" s="19">
        <v>407</v>
      </c>
      <c r="H19" s="19" t="s">
        <v>441</v>
      </c>
      <c r="J19" s="20"/>
    </row>
    <row r="20" spans="1:10" x14ac:dyDescent="0.45">
      <c r="A20" s="19" t="s">
        <v>93</v>
      </c>
      <c r="B20" s="19" t="s">
        <v>442</v>
      </c>
      <c r="C20" s="19" t="s">
        <v>348</v>
      </c>
      <c r="D20" s="19" t="s">
        <v>386</v>
      </c>
      <c r="E20" s="19" t="s">
        <v>443</v>
      </c>
      <c r="F20" s="19" t="s">
        <v>444</v>
      </c>
      <c r="G20" s="19">
        <v>100</v>
      </c>
      <c r="H20" s="19" t="s">
        <v>445</v>
      </c>
      <c r="I20" s="19" t="s">
        <v>446</v>
      </c>
      <c r="J20" s="20"/>
    </row>
    <row r="21" spans="1:10" x14ac:dyDescent="0.45">
      <c r="A21" s="19" t="s">
        <v>447</v>
      </c>
      <c r="B21" s="19" t="s">
        <v>448</v>
      </c>
      <c r="C21" s="19" t="s">
        <v>356</v>
      </c>
      <c r="D21" s="19" t="s">
        <v>449</v>
      </c>
      <c r="E21" s="19" t="s">
        <v>450</v>
      </c>
      <c r="F21" s="19" t="s">
        <v>451</v>
      </c>
      <c r="G21" s="19">
        <v>100</v>
      </c>
      <c r="H21" s="19" t="s">
        <v>452</v>
      </c>
      <c r="I21" s="19" t="s">
        <v>453</v>
      </c>
      <c r="J21" s="20" t="s">
        <v>454</v>
      </c>
    </row>
    <row r="22" spans="1:10" x14ac:dyDescent="0.45">
      <c r="A22" s="19" t="s">
        <v>455</v>
      </c>
      <c r="B22" s="19" t="s">
        <v>456</v>
      </c>
      <c r="C22" s="19" t="s">
        <v>356</v>
      </c>
      <c r="D22" s="19" t="s">
        <v>386</v>
      </c>
      <c r="E22" s="19" t="s">
        <v>457</v>
      </c>
      <c r="F22" s="19" t="s">
        <v>458</v>
      </c>
      <c r="G22" s="19">
        <v>406</v>
      </c>
      <c r="H22" s="19" t="s">
        <v>459</v>
      </c>
      <c r="I22" s="19" t="s">
        <v>460</v>
      </c>
      <c r="J22" s="20" t="s">
        <v>461</v>
      </c>
    </row>
    <row r="23" spans="1:10" x14ac:dyDescent="0.45">
      <c r="A23" s="19" t="s">
        <v>5</v>
      </c>
      <c r="B23" s="19" t="s">
        <v>462</v>
      </c>
      <c r="C23" s="19" t="s">
        <v>348</v>
      </c>
      <c r="D23" s="19" t="s">
        <v>566</v>
      </c>
      <c r="E23" s="19" t="s">
        <v>567</v>
      </c>
      <c r="F23" s="19" t="s">
        <v>568</v>
      </c>
      <c r="G23" s="19">
        <v>702</v>
      </c>
      <c r="H23" s="19" t="s">
        <v>463</v>
      </c>
      <c r="I23" s="19" t="s">
        <v>464</v>
      </c>
      <c r="J23" s="20"/>
    </row>
    <row r="24" spans="1:10" x14ac:dyDescent="0.45">
      <c r="A24" s="19" t="s">
        <v>69</v>
      </c>
      <c r="B24" s="19" t="s">
        <v>465</v>
      </c>
      <c r="C24" s="19" t="s">
        <v>348</v>
      </c>
      <c r="D24" s="19" t="s">
        <v>466</v>
      </c>
      <c r="E24" s="19" t="s">
        <v>467</v>
      </c>
      <c r="F24" s="19" t="s">
        <v>468</v>
      </c>
      <c r="G24" s="19">
        <v>248</v>
      </c>
      <c r="H24" s="19" t="s">
        <v>469</v>
      </c>
      <c r="I24" s="19" t="s">
        <v>470</v>
      </c>
      <c r="J24" s="20" t="s">
        <v>471</v>
      </c>
    </row>
    <row r="25" spans="1:10" x14ac:dyDescent="0.45">
      <c r="A25" s="19" t="s">
        <v>472</v>
      </c>
      <c r="B25" s="19" t="s">
        <v>473</v>
      </c>
      <c r="C25" s="19" t="s">
        <v>356</v>
      </c>
      <c r="D25" s="19" t="s">
        <v>349</v>
      </c>
      <c r="E25" s="19" t="s">
        <v>392</v>
      </c>
      <c r="F25" s="19" t="s">
        <v>393</v>
      </c>
      <c r="G25" s="19">
        <v>406</v>
      </c>
      <c r="H25" s="19" t="s">
        <v>394</v>
      </c>
      <c r="I25" s="19" t="s">
        <v>395</v>
      </c>
      <c r="J25" s="20"/>
    </row>
    <row r="26" spans="1:10" x14ac:dyDescent="0.45">
      <c r="A26" s="19" t="s">
        <v>196</v>
      </c>
      <c r="B26" s="19" t="s">
        <v>474</v>
      </c>
      <c r="C26" s="19" t="s">
        <v>356</v>
      </c>
      <c r="D26" s="19" t="s">
        <v>403</v>
      </c>
      <c r="E26" s="19" t="s">
        <v>404</v>
      </c>
      <c r="F26" s="19" t="s">
        <v>405</v>
      </c>
      <c r="G26" s="19">
        <v>241</v>
      </c>
      <c r="H26" s="19" t="s">
        <v>475</v>
      </c>
      <c r="I26" s="19" t="s">
        <v>407</v>
      </c>
      <c r="J26" s="20" t="s">
        <v>408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00B050"/>
  </sheetPr>
  <dimension ref="A1:M484"/>
  <sheetViews>
    <sheetView zoomScaleNormal="100" workbookViewId="0">
      <pane ySplit="1" topLeftCell="A461" activePane="bottomLeft" state="frozen"/>
      <selection pane="bottomLeft" activeCell="F234" sqref="F234"/>
    </sheetView>
  </sheetViews>
  <sheetFormatPr defaultColWidth="8" defaultRowHeight="16.25" x14ac:dyDescent="0.45"/>
  <cols>
    <col min="1" max="1" width="4.89453125" style="27" bestFit="1" customWidth="1"/>
    <col min="2" max="2" width="8.68359375" style="27" bestFit="1" customWidth="1"/>
    <col min="3" max="3" width="5.1015625" style="27" bestFit="1" customWidth="1"/>
    <col min="4" max="4" width="6.68359375" style="27" bestFit="1" customWidth="1"/>
    <col min="5" max="5" width="28.89453125" style="20" bestFit="1" customWidth="1"/>
    <col min="6" max="6" width="6.7890625" style="20" bestFit="1" customWidth="1"/>
    <col min="7" max="7" width="4.89453125" style="19" bestFit="1" customWidth="1"/>
    <col min="8" max="8" width="5.41796875" style="19" bestFit="1" customWidth="1"/>
    <col min="9" max="9" width="30.68359375" style="19" bestFit="1" customWidth="1"/>
    <col min="10" max="10" width="8.68359375" style="19" bestFit="1" customWidth="1"/>
    <col min="11" max="11" width="16.3125" style="19" customWidth="1"/>
    <col min="12" max="12" width="3.3125" style="19" customWidth="1"/>
    <col min="13" max="13" width="43.1015625" style="19" customWidth="1"/>
    <col min="14" max="16384" width="8" style="19"/>
  </cols>
  <sheetData>
    <row r="1" spans="1:13" x14ac:dyDescent="0.45">
      <c r="A1" s="25" t="s">
        <v>54</v>
      </c>
      <c r="B1" s="25" t="s">
        <v>55</v>
      </c>
      <c r="C1" s="25" t="s">
        <v>486</v>
      </c>
      <c r="D1" s="25" t="s">
        <v>56</v>
      </c>
      <c r="E1" s="25" t="s">
        <v>57</v>
      </c>
      <c r="F1" s="25" t="s">
        <v>545</v>
      </c>
      <c r="G1" s="25" t="s">
        <v>58</v>
      </c>
      <c r="H1" s="25" t="s">
        <v>59</v>
      </c>
      <c r="I1" s="25" t="s">
        <v>1</v>
      </c>
      <c r="J1" s="25" t="s">
        <v>2</v>
      </c>
      <c r="K1" s="25" t="s">
        <v>3</v>
      </c>
      <c r="L1" s="25"/>
      <c r="M1" s="26"/>
    </row>
    <row r="2" spans="1:13" x14ac:dyDescent="0.45">
      <c r="A2" s="27" t="s">
        <v>60</v>
      </c>
      <c r="B2" s="27" t="s">
        <v>263</v>
      </c>
      <c r="C2" s="27" t="s">
        <v>4</v>
      </c>
      <c r="D2" s="27" t="s">
        <v>10</v>
      </c>
      <c r="E2" s="20" t="s">
        <v>23</v>
      </c>
      <c r="F2" s="20">
        <v>232</v>
      </c>
      <c r="G2" s="19">
        <v>39</v>
      </c>
      <c r="H2" s="19">
        <v>9048</v>
      </c>
      <c r="I2" s="19" t="s">
        <v>24</v>
      </c>
      <c r="J2" s="28" t="s">
        <v>25</v>
      </c>
      <c r="K2" s="19" t="s">
        <v>26</v>
      </c>
    </row>
    <row r="3" spans="1:13" x14ac:dyDescent="0.45">
      <c r="A3" s="27" t="s">
        <v>60</v>
      </c>
      <c r="B3" s="27" t="s">
        <v>264</v>
      </c>
      <c r="C3" s="27" t="s">
        <v>4</v>
      </c>
      <c r="D3" s="27" t="s">
        <v>10</v>
      </c>
      <c r="E3" s="20" t="s">
        <v>23</v>
      </c>
      <c r="F3" s="20">
        <v>232</v>
      </c>
      <c r="G3" s="19">
        <v>39</v>
      </c>
      <c r="H3" s="19">
        <v>9048</v>
      </c>
      <c r="I3" s="19" t="s">
        <v>24</v>
      </c>
      <c r="J3" s="28" t="s">
        <v>25</v>
      </c>
      <c r="K3" s="19" t="s">
        <v>26</v>
      </c>
    </row>
    <row r="4" spans="1:13" x14ac:dyDescent="0.45">
      <c r="A4" s="27" t="s">
        <v>60</v>
      </c>
      <c r="B4" s="27" t="s">
        <v>265</v>
      </c>
      <c r="C4" s="27" t="s">
        <v>4</v>
      </c>
      <c r="D4" s="27" t="s">
        <v>10</v>
      </c>
      <c r="E4" s="20" t="s">
        <v>23</v>
      </c>
      <c r="F4" s="20">
        <v>232</v>
      </c>
      <c r="G4" s="19">
        <v>38</v>
      </c>
      <c r="H4" s="19">
        <v>8816</v>
      </c>
      <c r="I4" s="19" t="s">
        <v>24</v>
      </c>
      <c r="J4" s="28" t="s">
        <v>25</v>
      </c>
      <c r="K4" s="19" t="s">
        <v>26</v>
      </c>
    </row>
    <row r="5" spans="1:13" x14ac:dyDescent="0.45">
      <c r="A5" s="27" t="s">
        <v>60</v>
      </c>
      <c r="B5" s="27" t="s">
        <v>266</v>
      </c>
      <c r="C5" s="27" t="s">
        <v>4</v>
      </c>
      <c r="D5" s="27" t="s">
        <v>10</v>
      </c>
      <c r="E5" s="20" t="s">
        <v>23</v>
      </c>
      <c r="F5" s="20">
        <v>232</v>
      </c>
      <c r="G5" s="19">
        <v>38</v>
      </c>
      <c r="H5" s="19">
        <v>8816</v>
      </c>
      <c r="I5" s="19" t="s">
        <v>24</v>
      </c>
      <c r="J5" s="28" t="s">
        <v>25</v>
      </c>
      <c r="K5" s="19" t="s">
        <v>26</v>
      </c>
    </row>
    <row r="6" spans="1:13" x14ac:dyDescent="0.45">
      <c r="A6" s="27" t="s">
        <v>60</v>
      </c>
      <c r="B6" s="27" t="s">
        <v>279</v>
      </c>
      <c r="C6" s="27" t="s">
        <v>4</v>
      </c>
      <c r="D6" s="27" t="s">
        <v>10</v>
      </c>
      <c r="E6" s="20" t="s">
        <v>23</v>
      </c>
      <c r="F6" s="20">
        <v>232</v>
      </c>
      <c r="G6" s="19">
        <v>39</v>
      </c>
      <c r="H6" s="19">
        <v>9048</v>
      </c>
      <c r="I6" s="19" t="s">
        <v>24</v>
      </c>
      <c r="J6" s="28" t="s">
        <v>25</v>
      </c>
      <c r="K6" s="19" t="s">
        <v>26</v>
      </c>
    </row>
    <row r="7" spans="1:13" x14ac:dyDescent="0.45">
      <c r="A7" s="27" t="s">
        <v>60</v>
      </c>
      <c r="B7" s="27" t="s">
        <v>280</v>
      </c>
      <c r="C7" s="27" t="s">
        <v>4</v>
      </c>
      <c r="D7" s="27" t="s">
        <v>10</v>
      </c>
      <c r="E7" s="20" t="s">
        <v>23</v>
      </c>
      <c r="F7" s="20">
        <v>232</v>
      </c>
      <c r="G7" s="19">
        <v>39</v>
      </c>
      <c r="H7" s="19">
        <v>9048</v>
      </c>
      <c r="I7" s="19" t="s">
        <v>24</v>
      </c>
      <c r="J7" s="28" t="s">
        <v>25</v>
      </c>
      <c r="K7" s="19" t="s">
        <v>26</v>
      </c>
    </row>
    <row r="8" spans="1:13" x14ac:dyDescent="0.45">
      <c r="A8" s="27" t="s">
        <v>60</v>
      </c>
      <c r="B8" s="27" t="s">
        <v>263</v>
      </c>
      <c r="C8" s="27" t="s">
        <v>4</v>
      </c>
      <c r="D8" s="27" t="s">
        <v>10</v>
      </c>
      <c r="E8" s="20" t="s">
        <v>11</v>
      </c>
      <c r="F8" s="20">
        <v>228</v>
      </c>
      <c r="G8" s="19">
        <v>39</v>
      </c>
      <c r="H8" s="19">
        <v>8892</v>
      </c>
      <c r="I8" s="19" t="s">
        <v>12</v>
      </c>
      <c r="J8" s="28" t="s">
        <v>13</v>
      </c>
      <c r="K8" s="19" t="s">
        <v>14</v>
      </c>
    </row>
    <row r="9" spans="1:13" x14ac:dyDescent="0.45">
      <c r="A9" s="27" t="s">
        <v>60</v>
      </c>
      <c r="B9" s="27" t="s">
        <v>264</v>
      </c>
      <c r="C9" s="27" t="s">
        <v>4</v>
      </c>
      <c r="D9" s="27" t="s">
        <v>10</v>
      </c>
      <c r="E9" s="20" t="s">
        <v>11</v>
      </c>
      <c r="F9" s="20">
        <v>228</v>
      </c>
      <c r="G9" s="19">
        <v>39</v>
      </c>
      <c r="H9" s="19">
        <v>8892</v>
      </c>
      <c r="I9" s="19" t="s">
        <v>12</v>
      </c>
      <c r="J9" s="28" t="s">
        <v>13</v>
      </c>
      <c r="K9" s="19" t="s">
        <v>14</v>
      </c>
    </row>
    <row r="10" spans="1:13" x14ac:dyDescent="0.45">
      <c r="A10" s="27" t="s">
        <v>60</v>
      </c>
      <c r="B10" s="27" t="s">
        <v>265</v>
      </c>
      <c r="C10" s="27" t="s">
        <v>4</v>
      </c>
      <c r="D10" s="27" t="s">
        <v>10</v>
      </c>
      <c r="E10" s="20" t="s">
        <v>11</v>
      </c>
      <c r="F10" s="20">
        <v>228</v>
      </c>
      <c r="G10" s="19">
        <v>38</v>
      </c>
      <c r="H10" s="19">
        <v>8664</v>
      </c>
      <c r="I10" s="19" t="s">
        <v>12</v>
      </c>
      <c r="J10" s="28" t="s">
        <v>13</v>
      </c>
      <c r="K10" s="19" t="s">
        <v>14</v>
      </c>
    </row>
    <row r="11" spans="1:13" x14ac:dyDescent="0.45">
      <c r="A11" s="27" t="s">
        <v>60</v>
      </c>
      <c r="B11" s="27" t="s">
        <v>266</v>
      </c>
      <c r="C11" s="27" t="s">
        <v>4</v>
      </c>
      <c r="D11" s="27" t="s">
        <v>10</v>
      </c>
      <c r="E11" s="20" t="s">
        <v>11</v>
      </c>
      <c r="F11" s="20">
        <v>228</v>
      </c>
      <c r="G11" s="19">
        <v>38</v>
      </c>
      <c r="H11" s="19">
        <v>8664</v>
      </c>
      <c r="I11" s="19" t="s">
        <v>12</v>
      </c>
      <c r="J11" s="28" t="s">
        <v>13</v>
      </c>
      <c r="K11" s="19" t="s">
        <v>14</v>
      </c>
    </row>
    <row r="12" spans="1:13" x14ac:dyDescent="0.45">
      <c r="A12" s="27" t="s">
        <v>60</v>
      </c>
      <c r="B12" s="27" t="s">
        <v>277</v>
      </c>
      <c r="C12" s="27" t="s">
        <v>4</v>
      </c>
      <c r="D12" s="27" t="s">
        <v>87</v>
      </c>
      <c r="E12" s="20" t="s">
        <v>98</v>
      </c>
      <c r="F12" s="20">
        <v>331</v>
      </c>
      <c r="G12" s="19">
        <v>39</v>
      </c>
      <c r="H12" s="19">
        <v>12909</v>
      </c>
      <c r="I12" s="19" t="s">
        <v>99</v>
      </c>
      <c r="J12" s="28" t="s">
        <v>100</v>
      </c>
      <c r="K12" s="19" t="s">
        <v>101</v>
      </c>
    </row>
    <row r="13" spans="1:13" x14ac:dyDescent="0.45">
      <c r="A13" s="27" t="s">
        <v>60</v>
      </c>
      <c r="B13" s="27" t="s">
        <v>278</v>
      </c>
      <c r="C13" s="27" t="s">
        <v>4</v>
      </c>
      <c r="D13" s="27" t="s">
        <v>87</v>
      </c>
      <c r="E13" s="20" t="s">
        <v>98</v>
      </c>
      <c r="F13" s="20">
        <v>331</v>
      </c>
      <c r="G13" s="19">
        <v>38</v>
      </c>
      <c r="H13" s="19">
        <v>12578</v>
      </c>
      <c r="I13" s="19" t="s">
        <v>99</v>
      </c>
      <c r="J13" s="28" t="s">
        <v>100</v>
      </c>
      <c r="K13" s="19" t="s">
        <v>101</v>
      </c>
    </row>
    <row r="14" spans="1:13" x14ac:dyDescent="0.45">
      <c r="A14" s="27" t="s">
        <v>60</v>
      </c>
      <c r="B14" s="27" t="s">
        <v>267</v>
      </c>
      <c r="C14" s="27" t="s">
        <v>4</v>
      </c>
      <c r="D14" s="27" t="s">
        <v>87</v>
      </c>
      <c r="E14" s="20" t="s">
        <v>88</v>
      </c>
      <c r="F14" s="20">
        <v>200</v>
      </c>
      <c r="G14" s="19">
        <v>40</v>
      </c>
      <c r="H14" s="19">
        <v>8000</v>
      </c>
      <c r="I14" s="19" t="s">
        <v>89</v>
      </c>
      <c r="J14" s="28" t="s">
        <v>90</v>
      </c>
    </row>
    <row r="15" spans="1:13" x14ac:dyDescent="0.45">
      <c r="A15" s="27" t="s">
        <v>60</v>
      </c>
      <c r="B15" s="27" t="s">
        <v>268</v>
      </c>
      <c r="C15" s="27" t="s">
        <v>4</v>
      </c>
      <c r="D15" s="27" t="s">
        <v>87</v>
      </c>
      <c r="E15" s="20" t="s">
        <v>88</v>
      </c>
      <c r="F15" s="20">
        <v>200</v>
      </c>
      <c r="G15" s="19">
        <v>40</v>
      </c>
      <c r="H15" s="19">
        <v>8000</v>
      </c>
      <c r="I15" s="19" t="s">
        <v>89</v>
      </c>
      <c r="J15" s="28" t="s">
        <v>90</v>
      </c>
    </row>
    <row r="16" spans="1:13" x14ac:dyDescent="0.45">
      <c r="A16" s="27" t="s">
        <v>60</v>
      </c>
      <c r="B16" s="27" t="s">
        <v>269</v>
      </c>
      <c r="C16" s="27" t="s">
        <v>4</v>
      </c>
      <c r="D16" s="27" t="s">
        <v>87</v>
      </c>
      <c r="E16" s="20" t="s">
        <v>88</v>
      </c>
      <c r="F16" s="20">
        <v>200</v>
      </c>
      <c r="G16" s="19">
        <v>40</v>
      </c>
      <c r="H16" s="19">
        <v>8000</v>
      </c>
      <c r="I16" s="19" t="s">
        <v>89</v>
      </c>
      <c r="J16" s="28" t="s">
        <v>90</v>
      </c>
    </row>
    <row r="17" spans="1:11" x14ac:dyDescent="0.45">
      <c r="A17" s="27" t="s">
        <v>60</v>
      </c>
      <c r="B17" s="27" t="s">
        <v>270</v>
      </c>
      <c r="C17" s="27" t="s">
        <v>4</v>
      </c>
      <c r="D17" s="27" t="s">
        <v>87</v>
      </c>
      <c r="E17" s="20" t="s">
        <v>88</v>
      </c>
      <c r="F17" s="20">
        <v>200</v>
      </c>
      <c r="G17" s="19">
        <v>39</v>
      </c>
      <c r="H17" s="19">
        <v>7800</v>
      </c>
      <c r="I17" s="19" t="s">
        <v>89</v>
      </c>
      <c r="J17" s="28" t="s">
        <v>90</v>
      </c>
    </row>
    <row r="18" spans="1:11" x14ac:dyDescent="0.45">
      <c r="A18" s="27" t="s">
        <v>245</v>
      </c>
      <c r="B18" s="27" t="s">
        <v>317</v>
      </c>
      <c r="C18" s="27" t="s">
        <v>4</v>
      </c>
      <c r="D18" s="27" t="s">
        <v>161</v>
      </c>
      <c r="E18" s="20" t="s">
        <v>47</v>
      </c>
      <c r="F18" s="20">
        <v>160</v>
      </c>
      <c r="G18" s="19">
        <v>20</v>
      </c>
      <c r="H18" s="19">
        <v>3200</v>
      </c>
      <c r="I18" s="19" t="s">
        <v>214</v>
      </c>
      <c r="J18" s="28" t="s">
        <v>215</v>
      </c>
      <c r="K18" s="19" t="s">
        <v>216</v>
      </c>
    </row>
    <row r="19" spans="1:11" x14ac:dyDescent="0.45">
      <c r="A19" s="27" t="s">
        <v>245</v>
      </c>
      <c r="B19" s="27" t="s">
        <v>318</v>
      </c>
      <c r="C19" s="27" t="s">
        <v>4</v>
      </c>
      <c r="D19" s="27" t="s">
        <v>161</v>
      </c>
      <c r="E19" s="20" t="s">
        <v>47</v>
      </c>
      <c r="F19" s="20">
        <v>160</v>
      </c>
      <c r="G19" s="19">
        <v>21</v>
      </c>
      <c r="H19" s="19">
        <v>3360</v>
      </c>
      <c r="I19" s="19" t="s">
        <v>214</v>
      </c>
      <c r="J19" s="28" t="s">
        <v>215</v>
      </c>
      <c r="K19" s="19" t="s">
        <v>216</v>
      </c>
    </row>
    <row r="20" spans="1:11" x14ac:dyDescent="0.45">
      <c r="A20" s="27" t="s">
        <v>245</v>
      </c>
      <c r="B20" s="27" t="s">
        <v>319</v>
      </c>
      <c r="C20" s="27" t="s">
        <v>4</v>
      </c>
      <c r="D20" s="27" t="s">
        <v>161</v>
      </c>
      <c r="E20" s="20" t="s">
        <v>47</v>
      </c>
      <c r="F20" s="20">
        <v>160</v>
      </c>
      <c r="G20" s="19">
        <v>20</v>
      </c>
      <c r="H20" s="19">
        <v>3200</v>
      </c>
      <c r="I20" s="19" t="s">
        <v>214</v>
      </c>
      <c r="J20" s="28" t="s">
        <v>215</v>
      </c>
      <c r="K20" s="19" t="s">
        <v>216</v>
      </c>
    </row>
    <row r="21" spans="1:11" x14ac:dyDescent="0.45">
      <c r="A21" s="27" t="s">
        <v>245</v>
      </c>
      <c r="B21" s="27" t="s">
        <v>320</v>
      </c>
      <c r="C21" s="27" t="s">
        <v>4</v>
      </c>
      <c r="D21" s="27" t="s">
        <v>161</v>
      </c>
      <c r="E21" s="20" t="s">
        <v>47</v>
      </c>
      <c r="F21" s="20">
        <v>160</v>
      </c>
      <c r="G21" s="19">
        <v>7</v>
      </c>
      <c r="H21" s="19">
        <v>1120</v>
      </c>
      <c r="I21" s="19" t="s">
        <v>214</v>
      </c>
      <c r="J21" s="28" t="s">
        <v>215</v>
      </c>
      <c r="K21" s="19" t="s">
        <v>216</v>
      </c>
    </row>
    <row r="22" spans="1:11" x14ac:dyDescent="0.45">
      <c r="A22" s="27" t="s">
        <v>245</v>
      </c>
      <c r="B22" s="27" t="s">
        <v>321</v>
      </c>
      <c r="C22" s="27" t="s">
        <v>4</v>
      </c>
      <c r="D22" s="27" t="s">
        <v>161</v>
      </c>
      <c r="E22" s="20" t="s">
        <v>47</v>
      </c>
      <c r="F22" s="20">
        <v>160</v>
      </c>
      <c r="G22" s="19">
        <v>10</v>
      </c>
      <c r="H22" s="19">
        <v>1600</v>
      </c>
      <c r="I22" s="19" t="s">
        <v>214</v>
      </c>
      <c r="J22" s="28" t="s">
        <v>215</v>
      </c>
      <c r="K22" s="19" t="s">
        <v>216</v>
      </c>
    </row>
    <row r="23" spans="1:11" x14ac:dyDescent="0.45">
      <c r="A23" s="27" t="s">
        <v>60</v>
      </c>
      <c r="B23" s="27" t="s">
        <v>263</v>
      </c>
      <c r="C23" s="27" t="s">
        <v>4</v>
      </c>
      <c r="D23" s="27" t="s">
        <v>32</v>
      </c>
      <c r="E23" s="20" t="s">
        <v>33</v>
      </c>
      <c r="F23" s="20">
        <v>262</v>
      </c>
      <c r="G23" s="19">
        <v>39</v>
      </c>
      <c r="H23" s="19">
        <v>10218</v>
      </c>
      <c r="I23" s="19" t="s">
        <v>34</v>
      </c>
      <c r="J23" s="28" t="s">
        <v>35</v>
      </c>
      <c r="K23" s="19" t="s">
        <v>36</v>
      </c>
    </row>
    <row r="24" spans="1:11" x14ac:dyDescent="0.45">
      <c r="A24" s="27" t="s">
        <v>60</v>
      </c>
      <c r="B24" s="27" t="s">
        <v>264</v>
      </c>
      <c r="C24" s="27" t="s">
        <v>4</v>
      </c>
      <c r="D24" s="27" t="s">
        <v>32</v>
      </c>
      <c r="E24" s="20" t="s">
        <v>33</v>
      </c>
      <c r="F24" s="20">
        <v>262</v>
      </c>
      <c r="G24" s="19">
        <v>39</v>
      </c>
      <c r="H24" s="19">
        <v>10218</v>
      </c>
      <c r="I24" s="19" t="s">
        <v>34</v>
      </c>
      <c r="J24" s="28" t="s">
        <v>35</v>
      </c>
      <c r="K24" s="19" t="s">
        <v>36</v>
      </c>
    </row>
    <row r="25" spans="1:11" x14ac:dyDescent="0.45">
      <c r="A25" s="27" t="s">
        <v>60</v>
      </c>
      <c r="B25" s="27" t="s">
        <v>265</v>
      </c>
      <c r="C25" s="27" t="s">
        <v>4</v>
      </c>
      <c r="D25" s="27" t="s">
        <v>32</v>
      </c>
      <c r="E25" s="20" t="s">
        <v>33</v>
      </c>
      <c r="F25" s="20">
        <v>262</v>
      </c>
      <c r="G25" s="19">
        <v>38</v>
      </c>
      <c r="H25" s="19">
        <v>9956</v>
      </c>
      <c r="I25" s="19" t="s">
        <v>34</v>
      </c>
      <c r="J25" s="28" t="s">
        <v>35</v>
      </c>
      <c r="K25" s="19" t="s">
        <v>36</v>
      </c>
    </row>
    <row r="26" spans="1:11" x14ac:dyDescent="0.45">
      <c r="A26" s="27" t="s">
        <v>60</v>
      </c>
      <c r="B26" s="27" t="s">
        <v>266</v>
      </c>
      <c r="C26" s="27" t="s">
        <v>4</v>
      </c>
      <c r="D26" s="27" t="s">
        <v>32</v>
      </c>
      <c r="E26" s="20" t="s">
        <v>33</v>
      </c>
      <c r="F26" s="20">
        <v>262</v>
      </c>
      <c r="G26" s="19">
        <v>38</v>
      </c>
      <c r="H26" s="19">
        <v>9956</v>
      </c>
      <c r="I26" s="19" t="s">
        <v>34</v>
      </c>
      <c r="J26" s="28" t="s">
        <v>35</v>
      </c>
      <c r="K26" s="19" t="s">
        <v>36</v>
      </c>
    </row>
    <row r="27" spans="1:11" x14ac:dyDescent="0.45">
      <c r="A27" s="27" t="s">
        <v>60</v>
      </c>
      <c r="B27" s="27" t="s">
        <v>263</v>
      </c>
      <c r="C27" s="27" t="s">
        <v>4</v>
      </c>
      <c r="D27" s="27" t="s">
        <v>46</v>
      </c>
      <c r="E27" s="20" t="s">
        <v>50</v>
      </c>
      <c r="F27" s="20">
        <v>155</v>
      </c>
      <c r="G27" s="19">
        <v>39</v>
      </c>
      <c r="H27" s="19">
        <v>6045</v>
      </c>
      <c r="I27" s="19" t="s">
        <v>51</v>
      </c>
      <c r="J27" s="28" t="s">
        <v>52</v>
      </c>
      <c r="K27" s="19" t="s">
        <v>53</v>
      </c>
    </row>
    <row r="28" spans="1:11" x14ac:dyDescent="0.45">
      <c r="A28" s="27" t="s">
        <v>60</v>
      </c>
      <c r="B28" s="27" t="s">
        <v>264</v>
      </c>
      <c r="C28" s="27" t="s">
        <v>4</v>
      </c>
      <c r="D28" s="27" t="s">
        <v>46</v>
      </c>
      <c r="E28" s="20" t="s">
        <v>50</v>
      </c>
      <c r="F28" s="20">
        <v>155</v>
      </c>
      <c r="G28" s="19">
        <v>39</v>
      </c>
      <c r="H28" s="19">
        <v>6045</v>
      </c>
      <c r="I28" s="19" t="s">
        <v>51</v>
      </c>
      <c r="J28" s="28" t="s">
        <v>52</v>
      </c>
      <c r="K28" s="19" t="s">
        <v>53</v>
      </c>
    </row>
    <row r="29" spans="1:11" x14ac:dyDescent="0.45">
      <c r="A29" s="27" t="s">
        <v>60</v>
      </c>
      <c r="B29" s="27" t="s">
        <v>265</v>
      </c>
      <c r="C29" s="27" t="s">
        <v>4</v>
      </c>
      <c r="D29" s="27" t="s">
        <v>46</v>
      </c>
      <c r="E29" s="20" t="s">
        <v>50</v>
      </c>
      <c r="F29" s="20">
        <v>155</v>
      </c>
      <c r="G29" s="19">
        <v>38</v>
      </c>
      <c r="H29" s="19">
        <v>5890</v>
      </c>
      <c r="I29" s="19" t="s">
        <v>51</v>
      </c>
      <c r="J29" s="28" t="s">
        <v>52</v>
      </c>
      <c r="K29" s="19" t="s">
        <v>53</v>
      </c>
    </row>
    <row r="30" spans="1:11" x14ac:dyDescent="0.45">
      <c r="A30" s="27" t="s">
        <v>60</v>
      </c>
      <c r="B30" s="27" t="s">
        <v>266</v>
      </c>
      <c r="C30" s="27" t="s">
        <v>4</v>
      </c>
      <c r="D30" s="27" t="s">
        <v>46</v>
      </c>
      <c r="E30" s="20" t="s">
        <v>50</v>
      </c>
      <c r="F30" s="20">
        <v>155</v>
      </c>
      <c r="G30" s="19">
        <v>38</v>
      </c>
      <c r="H30" s="19">
        <v>5890</v>
      </c>
      <c r="I30" s="19" t="s">
        <v>51</v>
      </c>
      <c r="J30" s="28" t="s">
        <v>52</v>
      </c>
      <c r="K30" s="19" t="s">
        <v>53</v>
      </c>
    </row>
    <row r="31" spans="1:11" x14ac:dyDescent="0.45">
      <c r="A31" s="27" t="s">
        <v>60</v>
      </c>
      <c r="B31" s="27" t="s">
        <v>267</v>
      </c>
      <c r="C31" s="27" t="s">
        <v>4</v>
      </c>
      <c r="D31" s="27" t="s">
        <v>46</v>
      </c>
      <c r="E31" s="20" t="s">
        <v>50</v>
      </c>
      <c r="F31" s="20">
        <v>155</v>
      </c>
      <c r="G31" s="19">
        <v>40</v>
      </c>
      <c r="H31" s="19">
        <v>6200</v>
      </c>
      <c r="I31" s="19" t="s">
        <v>51</v>
      </c>
      <c r="J31" s="28" t="s">
        <v>52</v>
      </c>
      <c r="K31" s="19" t="s">
        <v>53</v>
      </c>
    </row>
    <row r="32" spans="1:11" x14ac:dyDescent="0.45">
      <c r="A32" s="27" t="s">
        <v>60</v>
      </c>
      <c r="B32" s="27" t="s">
        <v>268</v>
      </c>
      <c r="C32" s="27" t="s">
        <v>4</v>
      </c>
      <c r="D32" s="27" t="s">
        <v>46</v>
      </c>
      <c r="E32" s="20" t="s">
        <v>50</v>
      </c>
      <c r="F32" s="20">
        <v>155</v>
      </c>
      <c r="G32" s="19">
        <v>40</v>
      </c>
      <c r="H32" s="19">
        <v>6200</v>
      </c>
      <c r="I32" s="19" t="s">
        <v>51</v>
      </c>
      <c r="J32" s="28" t="s">
        <v>52</v>
      </c>
      <c r="K32" s="19" t="s">
        <v>53</v>
      </c>
    </row>
    <row r="33" spans="1:11" x14ac:dyDescent="0.45">
      <c r="A33" s="27" t="s">
        <v>60</v>
      </c>
      <c r="B33" s="27" t="s">
        <v>269</v>
      </c>
      <c r="C33" s="27" t="s">
        <v>4</v>
      </c>
      <c r="D33" s="27" t="s">
        <v>46</v>
      </c>
      <c r="E33" s="20" t="s">
        <v>50</v>
      </c>
      <c r="F33" s="20">
        <v>155</v>
      </c>
      <c r="G33" s="19">
        <v>40</v>
      </c>
      <c r="H33" s="19">
        <v>6200</v>
      </c>
      <c r="I33" s="19" t="s">
        <v>51</v>
      </c>
      <c r="J33" s="28" t="s">
        <v>52</v>
      </c>
      <c r="K33" s="19" t="s">
        <v>53</v>
      </c>
    </row>
    <row r="34" spans="1:11" x14ac:dyDescent="0.45">
      <c r="A34" s="27" t="s">
        <v>60</v>
      </c>
      <c r="B34" s="27" t="s">
        <v>270</v>
      </c>
      <c r="C34" s="27" t="s">
        <v>4</v>
      </c>
      <c r="D34" s="27" t="s">
        <v>46</v>
      </c>
      <c r="E34" s="20" t="s">
        <v>50</v>
      </c>
      <c r="F34" s="20">
        <v>155</v>
      </c>
      <c r="G34" s="19">
        <v>39</v>
      </c>
      <c r="H34" s="19">
        <v>6045</v>
      </c>
      <c r="I34" s="19" t="s">
        <v>51</v>
      </c>
      <c r="J34" s="28" t="s">
        <v>52</v>
      </c>
      <c r="K34" s="19" t="s">
        <v>53</v>
      </c>
    </row>
    <row r="35" spans="1:11" x14ac:dyDescent="0.45">
      <c r="A35" s="27" t="s">
        <v>60</v>
      </c>
      <c r="B35" s="27" t="s">
        <v>271</v>
      </c>
      <c r="C35" s="27" t="s">
        <v>4</v>
      </c>
      <c r="D35" s="27" t="s">
        <v>46</v>
      </c>
      <c r="E35" s="20" t="s">
        <v>50</v>
      </c>
      <c r="F35" s="20">
        <v>155</v>
      </c>
      <c r="G35" s="19">
        <v>39</v>
      </c>
      <c r="H35" s="19">
        <v>6045</v>
      </c>
      <c r="I35" s="19" t="s">
        <v>51</v>
      </c>
      <c r="J35" s="28" t="s">
        <v>52</v>
      </c>
      <c r="K35" s="19" t="s">
        <v>53</v>
      </c>
    </row>
    <row r="36" spans="1:11" x14ac:dyDescent="0.45">
      <c r="A36" s="27" t="s">
        <v>60</v>
      </c>
      <c r="B36" s="27" t="s">
        <v>272</v>
      </c>
      <c r="C36" s="27" t="s">
        <v>4</v>
      </c>
      <c r="D36" s="27" t="s">
        <v>46</v>
      </c>
      <c r="E36" s="20" t="s">
        <v>50</v>
      </c>
      <c r="F36" s="20">
        <v>155</v>
      </c>
      <c r="G36" s="19">
        <v>39</v>
      </c>
      <c r="H36" s="19">
        <v>6045</v>
      </c>
      <c r="I36" s="19" t="s">
        <v>51</v>
      </c>
      <c r="J36" s="28" t="s">
        <v>52</v>
      </c>
      <c r="K36" s="19" t="s">
        <v>53</v>
      </c>
    </row>
    <row r="37" spans="1:11" x14ac:dyDescent="0.45">
      <c r="A37" s="27" t="s">
        <v>60</v>
      </c>
      <c r="B37" s="27" t="s">
        <v>273</v>
      </c>
      <c r="C37" s="27" t="s">
        <v>4</v>
      </c>
      <c r="D37" s="27" t="s">
        <v>46</v>
      </c>
      <c r="E37" s="20" t="s">
        <v>50</v>
      </c>
      <c r="F37" s="20">
        <v>155</v>
      </c>
      <c r="G37" s="19">
        <v>39</v>
      </c>
      <c r="H37" s="19">
        <v>6045</v>
      </c>
      <c r="I37" s="19" t="s">
        <v>51</v>
      </c>
      <c r="J37" s="28" t="s">
        <v>52</v>
      </c>
      <c r="K37" s="19" t="s">
        <v>53</v>
      </c>
    </row>
    <row r="38" spans="1:11" x14ac:dyDescent="0.45">
      <c r="A38" s="27" t="s">
        <v>60</v>
      </c>
      <c r="B38" s="27" t="s">
        <v>274</v>
      </c>
      <c r="C38" s="27" t="s">
        <v>4</v>
      </c>
      <c r="D38" s="27" t="s">
        <v>46</v>
      </c>
      <c r="E38" s="20" t="s">
        <v>50</v>
      </c>
      <c r="F38" s="20">
        <v>155</v>
      </c>
      <c r="G38" s="19">
        <v>39</v>
      </c>
      <c r="H38" s="19">
        <v>6045</v>
      </c>
      <c r="I38" s="19" t="s">
        <v>51</v>
      </c>
      <c r="J38" s="28" t="s">
        <v>52</v>
      </c>
      <c r="K38" s="19" t="s">
        <v>53</v>
      </c>
    </row>
    <row r="39" spans="1:11" x14ac:dyDescent="0.45">
      <c r="A39" s="27" t="s">
        <v>60</v>
      </c>
      <c r="B39" s="27" t="s">
        <v>275</v>
      </c>
      <c r="C39" s="27" t="s">
        <v>4</v>
      </c>
      <c r="D39" s="27" t="s">
        <v>46</v>
      </c>
      <c r="E39" s="20" t="s">
        <v>50</v>
      </c>
      <c r="F39" s="20">
        <v>155</v>
      </c>
      <c r="G39" s="19">
        <v>38</v>
      </c>
      <c r="H39" s="19">
        <v>5890</v>
      </c>
      <c r="I39" s="19" t="s">
        <v>51</v>
      </c>
      <c r="J39" s="28" t="s">
        <v>52</v>
      </c>
      <c r="K39" s="19" t="s">
        <v>53</v>
      </c>
    </row>
    <row r="40" spans="1:11" x14ac:dyDescent="0.45">
      <c r="A40" s="27" t="s">
        <v>60</v>
      </c>
      <c r="B40" s="27" t="s">
        <v>276</v>
      </c>
      <c r="C40" s="27" t="s">
        <v>4</v>
      </c>
      <c r="D40" s="27" t="s">
        <v>46</v>
      </c>
      <c r="E40" s="20" t="s">
        <v>50</v>
      </c>
      <c r="F40" s="20">
        <v>155</v>
      </c>
      <c r="G40" s="19">
        <v>37</v>
      </c>
      <c r="H40" s="19">
        <v>5735</v>
      </c>
      <c r="I40" s="19" t="s">
        <v>51</v>
      </c>
      <c r="J40" s="28" t="s">
        <v>52</v>
      </c>
      <c r="K40" s="19" t="s">
        <v>53</v>
      </c>
    </row>
    <row r="41" spans="1:11" x14ac:dyDescent="0.45">
      <c r="A41" s="27" t="s">
        <v>60</v>
      </c>
      <c r="B41" s="27" t="s">
        <v>277</v>
      </c>
      <c r="C41" s="27" t="s">
        <v>4</v>
      </c>
      <c r="D41" s="27" t="s">
        <v>46</v>
      </c>
      <c r="E41" s="20" t="s">
        <v>50</v>
      </c>
      <c r="F41" s="20">
        <v>155</v>
      </c>
      <c r="G41" s="19">
        <v>39</v>
      </c>
      <c r="H41" s="19">
        <v>6045</v>
      </c>
      <c r="I41" s="19" t="s">
        <v>51</v>
      </c>
      <c r="J41" s="28" t="s">
        <v>52</v>
      </c>
      <c r="K41" s="19" t="s">
        <v>53</v>
      </c>
    </row>
    <row r="42" spans="1:11" x14ac:dyDescent="0.45">
      <c r="A42" s="27" t="s">
        <v>60</v>
      </c>
      <c r="B42" s="27" t="s">
        <v>278</v>
      </c>
      <c r="C42" s="27" t="s">
        <v>4</v>
      </c>
      <c r="D42" s="27" t="s">
        <v>46</v>
      </c>
      <c r="E42" s="20" t="s">
        <v>50</v>
      </c>
      <c r="F42" s="20">
        <v>155</v>
      </c>
      <c r="G42" s="19">
        <v>38</v>
      </c>
      <c r="H42" s="19">
        <v>5890</v>
      </c>
      <c r="I42" s="19" t="s">
        <v>51</v>
      </c>
      <c r="J42" s="28" t="s">
        <v>52</v>
      </c>
      <c r="K42" s="19" t="s">
        <v>53</v>
      </c>
    </row>
    <row r="43" spans="1:11" x14ac:dyDescent="0.45">
      <c r="A43" s="27" t="s">
        <v>60</v>
      </c>
      <c r="B43" s="27" t="s">
        <v>279</v>
      </c>
      <c r="C43" s="27" t="s">
        <v>4</v>
      </c>
      <c r="D43" s="27" t="s">
        <v>46</v>
      </c>
      <c r="E43" s="20" t="s">
        <v>50</v>
      </c>
      <c r="F43" s="20">
        <v>155</v>
      </c>
      <c r="G43" s="19">
        <v>39</v>
      </c>
      <c r="H43" s="19">
        <v>6045</v>
      </c>
      <c r="I43" s="19" t="s">
        <v>51</v>
      </c>
      <c r="J43" s="28" t="s">
        <v>52</v>
      </c>
      <c r="K43" s="19" t="s">
        <v>53</v>
      </c>
    </row>
    <row r="44" spans="1:11" x14ac:dyDescent="0.45">
      <c r="A44" s="27" t="s">
        <v>60</v>
      </c>
      <c r="B44" s="27" t="s">
        <v>280</v>
      </c>
      <c r="C44" s="27" t="s">
        <v>4</v>
      </c>
      <c r="D44" s="27" t="s">
        <v>46</v>
      </c>
      <c r="E44" s="20" t="s">
        <v>50</v>
      </c>
      <c r="F44" s="20">
        <v>155</v>
      </c>
      <c r="G44" s="19">
        <v>39</v>
      </c>
      <c r="H44" s="19">
        <v>6045</v>
      </c>
      <c r="I44" s="19" t="s">
        <v>51</v>
      </c>
      <c r="J44" s="28" t="s">
        <v>52</v>
      </c>
      <c r="K44" s="19" t="s">
        <v>53</v>
      </c>
    </row>
    <row r="45" spans="1:11" x14ac:dyDescent="0.45">
      <c r="A45" s="27" t="s">
        <v>245</v>
      </c>
      <c r="B45" s="27" t="s">
        <v>317</v>
      </c>
      <c r="C45" s="27" t="s">
        <v>4</v>
      </c>
      <c r="D45" s="27" t="s">
        <v>46</v>
      </c>
      <c r="E45" s="20" t="s">
        <v>50</v>
      </c>
      <c r="F45" s="20">
        <v>155</v>
      </c>
      <c r="G45" s="19">
        <v>20</v>
      </c>
      <c r="H45" s="19">
        <v>3100</v>
      </c>
      <c r="I45" s="19" t="s">
        <v>51</v>
      </c>
      <c r="J45" s="28" t="s">
        <v>52</v>
      </c>
      <c r="K45" s="19" t="s">
        <v>53</v>
      </c>
    </row>
    <row r="46" spans="1:11" x14ac:dyDescent="0.45">
      <c r="A46" s="27" t="s">
        <v>245</v>
      </c>
      <c r="B46" s="27" t="s">
        <v>318</v>
      </c>
      <c r="C46" s="27" t="s">
        <v>4</v>
      </c>
      <c r="D46" s="27" t="s">
        <v>46</v>
      </c>
      <c r="E46" s="20" t="s">
        <v>50</v>
      </c>
      <c r="F46" s="20">
        <v>155</v>
      </c>
      <c r="G46" s="19">
        <v>21</v>
      </c>
      <c r="H46" s="19">
        <v>3255</v>
      </c>
      <c r="I46" s="19" t="s">
        <v>51</v>
      </c>
      <c r="J46" s="28" t="s">
        <v>52</v>
      </c>
      <c r="K46" s="19" t="s">
        <v>53</v>
      </c>
    </row>
    <row r="47" spans="1:11" x14ac:dyDescent="0.45">
      <c r="A47" s="27" t="s">
        <v>245</v>
      </c>
      <c r="B47" s="27" t="s">
        <v>319</v>
      </c>
      <c r="C47" s="27" t="s">
        <v>4</v>
      </c>
      <c r="D47" s="27" t="s">
        <v>46</v>
      </c>
      <c r="E47" s="20" t="s">
        <v>50</v>
      </c>
      <c r="F47" s="20">
        <v>155</v>
      </c>
      <c r="G47" s="19">
        <v>20</v>
      </c>
      <c r="H47" s="19">
        <v>3100</v>
      </c>
      <c r="I47" s="19" t="s">
        <v>51</v>
      </c>
      <c r="J47" s="28" t="s">
        <v>52</v>
      </c>
      <c r="K47" s="19" t="s">
        <v>53</v>
      </c>
    </row>
    <row r="48" spans="1:11" x14ac:dyDescent="0.45">
      <c r="A48" s="27" t="s">
        <v>245</v>
      </c>
      <c r="B48" s="27" t="s">
        <v>320</v>
      </c>
      <c r="C48" s="27" t="s">
        <v>4</v>
      </c>
      <c r="D48" s="27" t="s">
        <v>46</v>
      </c>
      <c r="E48" s="20" t="s">
        <v>50</v>
      </c>
      <c r="F48" s="20">
        <v>155</v>
      </c>
      <c r="G48" s="19">
        <v>7</v>
      </c>
      <c r="H48" s="19">
        <v>1085</v>
      </c>
      <c r="I48" s="19" t="s">
        <v>51</v>
      </c>
      <c r="J48" s="28" t="s">
        <v>52</v>
      </c>
      <c r="K48" s="19" t="s">
        <v>53</v>
      </c>
    </row>
    <row r="49" spans="1:11" x14ac:dyDescent="0.45">
      <c r="A49" s="27" t="s">
        <v>245</v>
      </c>
      <c r="B49" s="27" t="s">
        <v>321</v>
      </c>
      <c r="C49" s="27" t="s">
        <v>4</v>
      </c>
      <c r="D49" s="27" t="s">
        <v>46</v>
      </c>
      <c r="E49" s="20" t="s">
        <v>50</v>
      </c>
      <c r="F49" s="20">
        <v>155</v>
      </c>
      <c r="G49" s="19">
        <v>10</v>
      </c>
      <c r="H49" s="19">
        <v>1550</v>
      </c>
      <c r="I49" s="19" t="s">
        <v>51</v>
      </c>
      <c r="J49" s="28" t="s">
        <v>52</v>
      </c>
      <c r="K49" s="19" t="s">
        <v>53</v>
      </c>
    </row>
    <row r="50" spans="1:11" x14ac:dyDescent="0.45">
      <c r="A50" s="27" t="s">
        <v>60</v>
      </c>
      <c r="B50" s="27" t="s">
        <v>263</v>
      </c>
      <c r="C50" s="27" t="s">
        <v>4</v>
      </c>
      <c r="D50" s="27" t="s">
        <v>46</v>
      </c>
      <c r="E50" s="20" t="s">
        <v>47</v>
      </c>
      <c r="F50" s="20">
        <v>168</v>
      </c>
      <c r="G50" s="19">
        <v>39</v>
      </c>
      <c r="H50" s="19">
        <v>6552</v>
      </c>
      <c r="I50" s="19" t="s">
        <v>48</v>
      </c>
      <c r="J50" s="28" t="s">
        <v>49</v>
      </c>
      <c r="K50" s="19" t="s">
        <v>102</v>
      </c>
    </row>
    <row r="51" spans="1:11" x14ac:dyDescent="0.45">
      <c r="A51" s="27" t="s">
        <v>60</v>
      </c>
      <c r="B51" s="27" t="s">
        <v>264</v>
      </c>
      <c r="C51" s="27" t="s">
        <v>4</v>
      </c>
      <c r="D51" s="27" t="s">
        <v>46</v>
      </c>
      <c r="E51" s="20" t="s">
        <v>47</v>
      </c>
      <c r="F51" s="20">
        <v>168</v>
      </c>
      <c r="G51" s="19">
        <v>39</v>
      </c>
      <c r="H51" s="19">
        <v>6552</v>
      </c>
      <c r="I51" s="19" t="s">
        <v>48</v>
      </c>
      <c r="J51" s="28" t="s">
        <v>49</v>
      </c>
      <c r="K51" s="19" t="s">
        <v>102</v>
      </c>
    </row>
    <row r="52" spans="1:11" x14ac:dyDescent="0.45">
      <c r="A52" s="27" t="s">
        <v>60</v>
      </c>
      <c r="B52" s="27" t="s">
        <v>265</v>
      </c>
      <c r="C52" s="27" t="s">
        <v>4</v>
      </c>
      <c r="D52" s="27" t="s">
        <v>46</v>
      </c>
      <c r="E52" s="20" t="s">
        <v>47</v>
      </c>
      <c r="F52" s="20">
        <v>168</v>
      </c>
      <c r="G52" s="19">
        <v>38</v>
      </c>
      <c r="H52" s="19">
        <v>6384</v>
      </c>
      <c r="I52" s="19" t="s">
        <v>48</v>
      </c>
      <c r="J52" s="28" t="s">
        <v>49</v>
      </c>
      <c r="K52" s="19" t="s">
        <v>102</v>
      </c>
    </row>
    <row r="53" spans="1:11" x14ac:dyDescent="0.45">
      <c r="A53" s="27" t="s">
        <v>60</v>
      </c>
      <c r="B53" s="27" t="s">
        <v>266</v>
      </c>
      <c r="C53" s="27" t="s">
        <v>4</v>
      </c>
      <c r="D53" s="27" t="s">
        <v>46</v>
      </c>
      <c r="E53" s="20" t="s">
        <v>47</v>
      </c>
      <c r="F53" s="20">
        <v>168</v>
      </c>
      <c r="G53" s="19">
        <v>38</v>
      </c>
      <c r="H53" s="19">
        <v>6384</v>
      </c>
      <c r="I53" s="19" t="s">
        <v>48</v>
      </c>
      <c r="J53" s="28" t="s">
        <v>49</v>
      </c>
      <c r="K53" s="19" t="s">
        <v>102</v>
      </c>
    </row>
    <row r="54" spans="1:11" x14ac:dyDescent="0.45">
      <c r="A54" s="27" t="s">
        <v>60</v>
      </c>
      <c r="B54" s="27" t="s">
        <v>267</v>
      </c>
      <c r="C54" s="27" t="s">
        <v>4</v>
      </c>
      <c r="D54" s="27" t="s">
        <v>46</v>
      </c>
      <c r="E54" s="20" t="s">
        <v>47</v>
      </c>
      <c r="F54" s="20">
        <v>168</v>
      </c>
      <c r="G54" s="19">
        <v>40</v>
      </c>
      <c r="H54" s="19">
        <v>6720</v>
      </c>
      <c r="I54" s="19" t="s">
        <v>48</v>
      </c>
      <c r="J54" s="28" t="s">
        <v>49</v>
      </c>
      <c r="K54" s="19" t="s">
        <v>102</v>
      </c>
    </row>
    <row r="55" spans="1:11" x14ac:dyDescent="0.45">
      <c r="A55" s="27" t="s">
        <v>60</v>
      </c>
      <c r="B55" s="27" t="s">
        <v>268</v>
      </c>
      <c r="C55" s="27" t="s">
        <v>4</v>
      </c>
      <c r="D55" s="27" t="s">
        <v>46</v>
      </c>
      <c r="E55" s="20" t="s">
        <v>47</v>
      </c>
      <c r="F55" s="20">
        <v>168</v>
      </c>
      <c r="G55" s="19">
        <v>40</v>
      </c>
      <c r="H55" s="19">
        <v>6720</v>
      </c>
      <c r="I55" s="19" t="s">
        <v>48</v>
      </c>
      <c r="J55" s="28" t="s">
        <v>49</v>
      </c>
      <c r="K55" s="19" t="s">
        <v>102</v>
      </c>
    </row>
    <row r="56" spans="1:11" x14ac:dyDescent="0.45">
      <c r="A56" s="27" t="s">
        <v>60</v>
      </c>
      <c r="B56" s="27" t="s">
        <v>269</v>
      </c>
      <c r="C56" s="27" t="s">
        <v>4</v>
      </c>
      <c r="D56" s="27" t="s">
        <v>46</v>
      </c>
      <c r="E56" s="20" t="s">
        <v>47</v>
      </c>
      <c r="F56" s="20">
        <v>168</v>
      </c>
      <c r="G56" s="19">
        <v>40</v>
      </c>
      <c r="H56" s="19">
        <v>6720</v>
      </c>
      <c r="I56" s="19" t="s">
        <v>48</v>
      </c>
      <c r="J56" s="28" t="s">
        <v>49</v>
      </c>
      <c r="K56" s="19" t="s">
        <v>102</v>
      </c>
    </row>
    <row r="57" spans="1:11" x14ac:dyDescent="0.45">
      <c r="A57" s="27" t="s">
        <v>60</v>
      </c>
      <c r="B57" s="27" t="s">
        <v>270</v>
      </c>
      <c r="C57" s="27" t="s">
        <v>4</v>
      </c>
      <c r="D57" s="27" t="s">
        <v>46</v>
      </c>
      <c r="E57" s="20" t="s">
        <v>47</v>
      </c>
      <c r="F57" s="20">
        <v>168</v>
      </c>
      <c r="G57" s="19">
        <v>39</v>
      </c>
      <c r="H57" s="19">
        <v>6552</v>
      </c>
      <c r="I57" s="19" t="s">
        <v>48</v>
      </c>
      <c r="J57" s="28" t="s">
        <v>49</v>
      </c>
      <c r="K57" s="19" t="s">
        <v>102</v>
      </c>
    </row>
    <row r="58" spans="1:11" x14ac:dyDescent="0.45">
      <c r="A58" s="27" t="s">
        <v>60</v>
      </c>
      <c r="B58" s="27" t="s">
        <v>271</v>
      </c>
      <c r="C58" s="27" t="s">
        <v>4</v>
      </c>
      <c r="D58" s="27" t="s">
        <v>46</v>
      </c>
      <c r="E58" s="20" t="s">
        <v>47</v>
      </c>
      <c r="F58" s="20">
        <v>168</v>
      </c>
      <c r="G58" s="19">
        <v>39</v>
      </c>
      <c r="H58" s="19">
        <v>6552</v>
      </c>
      <c r="I58" s="19" t="s">
        <v>48</v>
      </c>
      <c r="J58" s="28" t="s">
        <v>49</v>
      </c>
      <c r="K58" s="19" t="s">
        <v>102</v>
      </c>
    </row>
    <row r="59" spans="1:11" x14ac:dyDescent="0.45">
      <c r="A59" s="27" t="s">
        <v>60</v>
      </c>
      <c r="B59" s="27" t="s">
        <v>272</v>
      </c>
      <c r="C59" s="27" t="s">
        <v>4</v>
      </c>
      <c r="D59" s="27" t="s">
        <v>46</v>
      </c>
      <c r="E59" s="20" t="s">
        <v>47</v>
      </c>
      <c r="F59" s="20">
        <v>168</v>
      </c>
      <c r="G59" s="19">
        <v>39</v>
      </c>
      <c r="H59" s="19">
        <v>6552</v>
      </c>
      <c r="I59" s="19" t="s">
        <v>48</v>
      </c>
      <c r="J59" s="28" t="s">
        <v>49</v>
      </c>
      <c r="K59" s="19" t="s">
        <v>102</v>
      </c>
    </row>
    <row r="60" spans="1:11" x14ac:dyDescent="0.45">
      <c r="A60" s="27" t="s">
        <v>60</v>
      </c>
      <c r="B60" s="27" t="s">
        <v>273</v>
      </c>
      <c r="C60" s="27" t="s">
        <v>4</v>
      </c>
      <c r="D60" s="27" t="s">
        <v>46</v>
      </c>
      <c r="E60" s="20" t="s">
        <v>47</v>
      </c>
      <c r="F60" s="20">
        <v>168</v>
      </c>
      <c r="G60" s="19">
        <v>39</v>
      </c>
      <c r="H60" s="19">
        <v>6552</v>
      </c>
      <c r="I60" s="19" t="s">
        <v>48</v>
      </c>
      <c r="J60" s="28" t="s">
        <v>49</v>
      </c>
      <c r="K60" s="19" t="s">
        <v>102</v>
      </c>
    </row>
    <row r="61" spans="1:11" x14ac:dyDescent="0.45">
      <c r="A61" s="27" t="s">
        <v>60</v>
      </c>
      <c r="B61" s="27" t="s">
        <v>274</v>
      </c>
      <c r="C61" s="27" t="s">
        <v>4</v>
      </c>
      <c r="D61" s="27" t="s">
        <v>46</v>
      </c>
      <c r="E61" s="20" t="s">
        <v>47</v>
      </c>
      <c r="F61" s="20">
        <v>168</v>
      </c>
      <c r="G61" s="19">
        <v>39</v>
      </c>
      <c r="H61" s="19">
        <v>6552</v>
      </c>
      <c r="I61" s="19" t="s">
        <v>48</v>
      </c>
      <c r="J61" s="28" t="s">
        <v>49</v>
      </c>
      <c r="K61" s="19" t="s">
        <v>102</v>
      </c>
    </row>
    <row r="62" spans="1:11" x14ac:dyDescent="0.45">
      <c r="A62" s="27" t="s">
        <v>60</v>
      </c>
      <c r="B62" s="27" t="s">
        <v>275</v>
      </c>
      <c r="C62" s="27" t="s">
        <v>4</v>
      </c>
      <c r="D62" s="27" t="s">
        <v>46</v>
      </c>
      <c r="E62" s="20" t="s">
        <v>47</v>
      </c>
      <c r="F62" s="20">
        <v>168</v>
      </c>
      <c r="G62" s="19">
        <v>38</v>
      </c>
      <c r="H62" s="19">
        <v>6384</v>
      </c>
      <c r="I62" s="19" t="s">
        <v>48</v>
      </c>
      <c r="J62" s="28" t="s">
        <v>49</v>
      </c>
      <c r="K62" s="19" t="s">
        <v>102</v>
      </c>
    </row>
    <row r="63" spans="1:11" x14ac:dyDescent="0.45">
      <c r="A63" s="27" t="s">
        <v>60</v>
      </c>
      <c r="B63" s="27" t="s">
        <v>276</v>
      </c>
      <c r="C63" s="27" t="s">
        <v>4</v>
      </c>
      <c r="D63" s="27" t="s">
        <v>46</v>
      </c>
      <c r="E63" s="20" t="s">
        <v>47</v>
      </c>
      <c r="F63" s="20">
        <v>168</v>
      </c>
      <c r="G63" s="19">
        <v>37</v>
      </c>
      <c r="H63" s="19">
        <v>6216</v>
      </c>
      <c r="I63" s="19" t="s">
        <v>48</v>
      </c>
      <c r="J63" s="28" t="s">
        <v>49</v>
      </c>
      <c r="K63" s="19" t="s">
        <v>102</v>
      </c>
    </row>
    <row r="64" spans="1:11" x14ac:dyDescent="0.45">
      <c r="A64" s="27" t="s">
        <v>60</v>
      </c>
      <c r="B64" s="27" t="s">
        <v>277</v>
      </c>
      <c r="C64" s="27" t="s">
        <v>4</v>
      </c>
      <c r="D64" s="27" t="s">
        <v>46</v>
      </c>
      <c r="E64" s="20" t="s">
        <v>47</v>
      </c>
      <c r="F64" s="20">
        <v>168</v>
      </c>
      <c r="G64" s="19">
        <v>39</v>
      </c>
      <c r="H64" s="19">
        <v>6552</v>
      </c>
      <c r="I64" s="19" t="s">
        <v>48</v>
      </c>
      <c r="J64" s="28" t="s">
        <v>49</v>
      </c>
      <c r="K64" s="19" t="s">
        <v>102</v>
      </c>
    </row>
    <row r="65" spans="1:11" x14ac:dyDescent="0.45">
      <c r="A65" s="27" t="s">
        <v>60</v>
      </c>
      <c r="B65" s="27" t="s">
        <v>278</v>
      </c>
      <c r="C65" s="27" t="s">
        <v>4</v>
      </c>
      <c r="D65" s="27" t="s">
        <v>46</v>
      </c>
      <c r="E65" s="20" t="s">
        <v>47</v>
      </c>
      <c r="F65" s="20">
        <v>168</v>
      </c>
      <c r="G65" s="19">
        <v>38</v>
      </c>
      <c r="H65" s="19">
        <v>6384</v>
      </c>
      <c r="I65" s="19" t="s">
        <v>48</v>
      </c>
      <c r="J65" s="28" t="s">
        <v>49</v>
      </c>
      <c r="K65" s="19" t="s">
        <v>102</v>
      </c>
    </row>
    <row r="66" spans="1:11" x14ac:dyDescent="0.45">
      <c r="A66" s="27" t="s">
        <v>60</v>
      </c>
      <c r="B66" s="27" t="s">
        <v>279</v>
      </c>
      <c r="C66" s="27" t="s">
        <v>4</v>
      </c>
      <c r="D66" s="27" t="s">
        <v>46</v>
      </c>
      <c r="E66" s="20" t="s">
        <v>47</v>
      </c>
      <c r="F66" s="20">
        <v>168</v>
      </c>
      <c r="G66" s="19">
        <v>39</v>
      </c>
      <c r="H66" s="19">
        <v>6552</v>
      </c>
      <c r="I66" s="19" t="s">
        <v>48</v>
      </c>
      <c r="J66" s="28" t="s">
        <v>49</v>
      </c>
      <c r="K66" s="19" t="s">
        <v>102</v>
      </c>
    </row>
    <row r="67" spans="1:11" x14ac:dyDescent="0.45">
      <c r="A67" s="27" t="s">
        <v>60</v>
      </c>
      <c r="B67" s="27" t="s">
        <v>280</v>
      </c>
      <c r="C67" s="27" t="s">
        <v>4</v>
      </c>
      <c r="D67" s="27" t="s">
        <v>46</v>
      </c>
      <c r="E67" s="20" t="s">
        <v>47</v>
      </c>
      <c r="F67" s="20">
        <v>168</v>
      </c>
      <c r="G67" s="19">
        <v>39</v>
      </c>
      <c r="H67" s="19">
        <v>6552</v>
      </c>
      <c r="I67" s="19" t="s">
        <v>48</v>
      </c>
      <c r="J67" s="28" t="s">
        <v>49</v>
      </c>
      <c r="K67" s="19" t="s">
        <v>102</v>
      </c>
    </row>
    <row r="68" spans="1:11" x14ac:dyDescent="0.45">
      <c r="A68" s="27" t="s">
        <v>245</v>
      </c>
      <c r="B68" s="27" t="s">
        <v>317</v>
      </c>
      <c r="C68" s="27" t="s">
        <v>4</v>
      </c>
      <c r="D68" s="27" t="s">
        <v>61</v>
      </c>
      <c r="E68" s="20" t="s">
        <v>199</v>
      </c>
      <c r="F68" s="20">
        <v>160</v>
      </c>
      <c r="G68" s="19">
        <v>20</v>
      </c>
      <c r="H68" s="19">
        <v>3200</v>
      </c>
      <c r="I68" s="19" t="s">
        <v>200</v>
      </c>
      <c r="J68" s="28" t="s">
        <v>201</v>
      </c>
      <c r="K68" s="19" t="s">
        <v>202</v>
      </c>
    </row>
    <row r="69" spans="1:11" x14ac:dyDescent="0.45">
      <c r="A69" s="27" t="s">
        <v>245</v>
      </c>
      <c r="B69" s="27" t="s">
        <v>318</v>
      </c>
      <c r="C69" s="27" t="s">
        <v>4</v>
      </c>
      <c r="D69" s="27" t="s">
        <v>61</v>
      </c>
      <c r="E69" s="20" t="s">
        <v>199</v>
      </c>
      <c r="F69" s="20">
        <v>160</v>
      </c>
      <c r="G69" s="19">
        <v>21</v>
      </c>
      <c r="H69" s="19">
        <v>3360</v>
      </c>
      <c r="I69" s="19" t="s">
        <v>200</v>
      </c>
      <c r="J69" s="28" t="s">
        <v>201</v>
      </c>
      <c r="K69" s="19" t="s">
        <v>202</v>
      </c>
    </row>
    <row r="70" spans="1:11" x14ac:dyDescent="0.45">
      <c r="A70" s="27" t="s">
        <v>245</v>
      </c>
      <c r="B70" s="27" t="s">
        <v>319</v>
      </c>
      <c r="C70" s="27" t="s">
        <v>4</v>
      </c>
      <c r="D70" s="27" t="s">
        <v>61</v>
      </c>
      <c r="E70" s="20" t="s">
        <v>199</v>
      </c>
      <c r="F70" s="20">
        <v>160</v>
      </c>
      <c r="G70" s="19">
        <v>20</v>
      </c>
      <c r="H70" s="19">
        <v>3200</v>
      </c>
      <c r="I70" s="19" t="s">
        <v>200</v>
      </c>
      <c r="J70" s="28" t="s">
        <v>201</v>
      </c>
      <c r="K70" s="19" t="s">
        <v>202</v>
      </c>
    </row>
    <row r="71" spans="1:11" x14ac:dyDescent="0.45">
      <c r="A71" s="27" t="s">
        <v>245</v>
      </c>
      <c r="B71" s="27" t="s">
        <v>320</v>
      </c>
      <c r="C71" s="27" t="s">
        <v>4</v>
      </c>
      <c r="D71" s="27" t="s">
        <v>61</v>
      </c>
      <c r="E71" s="20" t="s">
        <v>199</v>
      </c>
      <c r="F71" s="20">
        <v>160</v>
      </c>
      <c r="G71" s="19">
        <v>7</v>
      </c>
      <c r="H71" s="19">
        <v>1120</v>
      </c>
      <c r="I71" s="19" t="s">
        <v>200</v>
      </c>
      <c r="J71" s="28" t="s">
        <v>201</v>
      </c>
      <c r="K71" s="19" t="s">
        <v>202</v>
      </c>
    </row>
    <row r="72" spans="1:11" x14ac:dyDescent="0.45">
      <c r="A72" s="27" t="s">
        <v>245</v>
      </c>
      <c r="B72" s="27" t="s">
        <v>321</v>
      </c>
      <c r="C72" s="27" t="s">
        <v>4</v>
      </c>
      <c r="D72" s="27" t="s">
        <v>61</v>
      </c>
      <c r="E72" s="20" t="s">
        <v>199</v>
      </c>
      <c r="F72" s="20">
        <v>160</v>
      </c>
      <c r="G72" s="19">
        <v>10</v>
      </c>
      <c r="H72" s="19">
        <v>1600</v>
      </c>
      <c r="I72" s="19" t="s">
        <v>200</v>
      </c>
      <c r="J72" s="28" t="s">
        <v>201</v>
      </c>
      <c r="K72" s="19" t="s">
        <v>202</v>
      </c>
    </row>
    <row r="73" spans="1:11" x14ac:dyDescent="0.45">
      <c r="A73" s="27" t="s">
        <v>60</v>
      </c>
      <c r="B73" s="27" t="s">
        <v>267</v>
      </c>
      <c r="C73" s="27" t="s">
        <v>4</v>
      </c>
      <c r="D73" s="27" t="s">
        <v>61</v>
      </c>
      <c r="E73" s="20" t="s">
        <v>66</v>
      </c>
      <c r="F73" s="20">
        <v>210</v>
      </c>
      <c r="G73" s="19">
        <v>40</v>
      </c>
      <c r="H73" s="19">
        <v>8400</v>
      </c>
      <c r="I73" s="19" t="s">
        <v>24</v>
      </c>
      <c r="J73" s="28" t="s">
        <v>67</v>
      </c>
      <c r="K73" s="19" t="s">
        <v>68</v>
      </c>
    </row>
    <row r="74" spans="1:11" x14ac:dyDescent="0.45">
      <c r="A74" s="27" t="s">
        <v>60</v>
      </c>
      <c r="B74" s="27" t="s">
        <v>268</v>
      </c>
      <c r="C74" s="27" t="s">
        <v>4</v>
      </c>
      <c r="D74" s="27" t="s">
        <v>61</v>
      </c>
      <c r="E74" s="20" t="s">
        <v>66</v>
      </c>
      <c r="F74" s="20">
        <v>210</v>
      </c>
      <c r="G74" s="19">
        <v>40</v>
      </c>
      <c r="H74" s="19">
        <v>8400</v>
      </c>
      <c r="I74" s="19" t="s">
        <v>24</v>
      </c>
      <c r="J74" s="28" t="s">
        <v>67</v>
      </c>
      <c r="K74" s="19" t="s">
        <v>68</v>
      </c>
    </row>
    <row r="75" spans="1:11" x14ac:dyDescent="0.45">
      <c r="A75" s="27" t="s">
        <v>60</v>
      </c>
      <c r="B75" s="27" t="s">
        <v>269</v>
      </c>
      <c r="C75" s="27" t="s">
        <v>4</v>
      </c>
      <c r="D75" s="27" t="s">
        <v>61</v>
      </c>
      <c r="E75" s="20" t="s">
        <v>66</v>
      </c>
      <c r="F75" s="20">
        <v>210</v>
      </c>
      <c r="G75" s="19">
        <v>40</v>
      </c>
      <c r="H75" s="19">
        <v>8400</v>
      </c>
      <c r="I75" s="19" t="s">
        <v>24</v>
      </c>
      <c r="J75" s="28" t="s">
        <v>67</v>
      </c>
      <c r="K75" s="19" t="s">
        <v>68</v>
      </c>
    </row>
    <row r="76" spans="1:11" x14ac:dyDescent="0.45">
      <c r="A76" s="27" t="s">
        <v>60</v>
      </c>
      <c r="B76" s="27" t="s">
        <v>270</v>
      </c>
      <c r="C76" s="27" t="s">
        <v>4</v>
      </c>
      <c r="D76" s="27" t="s">
        <v>61</v>
      </c>
      <c r="E76" s="20" t="s">
        <v>66</v>
      </c>
      <c r="F76" s="20">
        <v>210</v>
      </c>
      <c r="G76" s="19">
        <v>39</v>
      </c>
      <c r="H76" s="19">
        <v>8190</v>
      </c>
      <c r="I76" s="19" t="s">
        <v>24</v>
      </c>
      <c r="J76" s="28" t="s">
        <v>67</v>
      </c>
      <c r="K76" s="19" t="s">
        <v>68</v>
      </c>
    </row>
    <row r="77" spans="1:11" x14ac:dyDescent="0.45">
      <c r="A77" s="27" t="s">
        <v>60</v>
      </c>
      <c r="B77" s="27" t="s">
        <v>271</v>
      </c>
      <c r="C77" s="27" t="s">
        <v>4</v>
      </c>
      <c r="D77" s="27" t="s">
        <v>61</v>
      </c>
      <c r="E77" s="20" t="s">
        <v>66</v>
      </c>
      <c r="F77" s="20">
        <v>210</v>
      </c>
      <c r="G77" s="19">
        <v>39</v>
      </c>
      <c r="H77" s="19">
        <v>8190</v>
      </c>
      <c r="I77" s="19" t="s">
        <v>24</v>
      </c>
      <c r="J77" s="28" t="s">
        <v>67</v>
      </c>
      <c r="K77" s="19" t="s">
        <v>68</v>
      </c>
    </row>
    <row r="78" spans="1:11" x14ac:dyDescent="0.45">
      <c r="A78" s="27" t="s">
        <v>60</v>
      </c>
      <c r="B78" s="27" t="s">
        <v>272</v>
      </c>
      <c r="C78" s="27" t="s">
        <v>4</v>
      </c>
      <c r="D78" s="27" t="s">
        <v>61</v>
      </c>
      <c r="E78" s="20" t="s">
        <v>66</v>
      </c>
      <c r="F78" s="20">
        <v>210</v>
      </c>
      <c r="G78" s="19">
        <v>39</v>
      </c>
      <c r="H78" s="19">
        <v>8190</v>
      </c>
      <c r="I78" s="19" t="s">
        <v>24</v>
      </c>
      <c r="J78" s="28" t="s">
        <v>67</v>
      </c>
      <c r="K78" s="19" t="s">
        <v>68</v>
      </c>
    </row>
    <row r="79" spans="1:11" x14ac:dyDescent="0.45">
      <c r="A79" s="27" t="s">
        <v>60</v>
      </c>
      <c r="B79" s="27" t="s">
        <v>273</v>
      </c>
      <c r="C79" s="27" t="s">
        <v>4</v>
      </c>
      <c r="D79" s="27" t="s">
        <v>61</v>
      </c>
      <c r="E79" s="20" t="s">
        <v>66</v>
      </c>
      <c r="F79" s="20">
        <v>210</v>
      </c>
      <c r="G79" s="19">
        <v>39</v>
      </c>
      <c r="H79" s="19">
        <v>8190</v>
      </c>
      <c r="I79" s="19" t="s">
        <v>24</v>
      </c>
      <c r="J79" s="28" t="s">
        <v>67</v>
      </c>
      <c r="K79" s="19" t="s">
        <v>68</v>
      </c>
    </row>
    <row r="80" spans="1:11" x14ac:dyDescent="0.45">
      <c r="A80" s="27" t="s">
        <v>60</v>
      </c>
      <c r="B80" s="27" t="s">
        <v>274</v>
      </c>
      <c r="C80" s="27" t="s">
        <v>4</v>
      </c>
      <c r="D80" s="27" t="s">
        <v>61</v>
      </c>
      <c r="E80" s="20" t="s">
        <v>66</v>
      </c>
      <c r="F80" s="20">
        <v>210</v>
      </c>
      <c r="G80" s="19">
        <v>39</v>
      </c>
      <c r="H80" s="19">
        <v>8190</v>
      </c>
      <c r="I80" s="19" t="s">
        <v>24</v>
      </c>
      <c r="J80" s="28" t="s">
        <v>67</v>
      </c>
      <c r="K80" s="19" t="s">
        <v>68</v>
      </c>
    </row>
    <row r="81" spans="1:11" x14ac:dyDescent="0.45">
      <c r="A81" s="27" t="s">
        <v>60</v>
      </c>
      <c r="B81" s="27" t="s">
        <v>275</v>
      </c>
      <c r="C81" s="27" t="s">
        <v>4</v>
      </c>
      <c r="D81" s="27" t="s">
        <v>61</v>
      </c>
      <c r="E81" s="20" t="s">
        <v>66</v>
      </c>
      <c r="F81" s="20">
        <v>210</v>
      </c>
      <c r="G81" s="19">
        <v>38</v>
      </c>
      <c r="H81" s="19">
        <v>7980</v>
      </c>
      <c r="I81" s="19" t="s">
        <v>24</v>
      </c>
      <c r="J81" s="28" t="s">
        <v>67</v>
      </c>
      <c r="K81" s="19" t="s">
        <v>68</v>
      </c>
    </row>
    <row r="82" spans="1:11" x14ac:dyDescent="0.45">
      <c r="A82" s="27" t="s">
        <v>60</v>
      </c>
      <c r="B82" s="27" t="s">
        <v>276</v>
      </c>
      <c r="C82" s="27" t="s">
        <v>4</v>
      </c>
      <c r="D82" s="27" t="s">
        <v>61</v>
      </c>
      <c r="E82" s="20" t="s">
        <v>66</v>
      </c>
      <c r="F82" s="20">
        <v>210</v>
      </c>
      <c r="G82" s="19">
        <v>37</v>
      </c>
      <c r="H82" s="19">
        <v>7770</v>
      </c>
      <c r="I82" s="19" t="s">
        <v>24</v>
      </c>
      <c r="J82" s="28" t="s">
        <v>67</v>
      </c>
      <c r="K82" s="19" t="s">
        <v>68</v>
      </c>
    </row>
    <row r="83" spans="1:11" x14ac:dyDescent="0.45">
      <c r="A83" s="27" t="s">
        <v>60</v>
      </c>
      <c r="B83" s="27" t="s">
        <v>277</v>
      </c>
      <c r="C83" s="27" t="s">
        <v>4</v>
      </c>
      <c r="D83" s="27" t="s">
        <v>61</v>
      </c>
      <c r="E83" s="20" t="s">
        <v>66</v>
      </c>
      <c r="F83" s="20">
        <v>210</v>
      </c>
      <c r="G83" s="19">
        <v>39</v>
      </c>
      <c r="H83" s="19">
        <v>8190</v>
      </c>
      <c r="I83" s="19" t="s">
        <v>24</v>
      </c>
      <c r="J83" s="28" t="s">
        <v>67</v>
      </c>
      <c r="K83" s="19" t="s">
        <v>68</v>
      </c>
    </row>
    <row r="84" spans="1:11" x14ac:dyDescent="0.45">
      <c r="A84" s="27" t="s">
        <v>60</v>
      </c>
      <c r="B84" s="27" t="s">
        <v>278</v>
      </c>
      <c r="C84" s="27" t="s">
        <v>4</v>
      </c>
      <c r="D84" s="27" t="s">
        <v>61</v>
      </c>
      <c r="E84" s="20" t="s">
        <v>66</v>
      </c>
      <c r="F84" s="20">
        <v>210</v>
      </c>
      <c r="G84" s="19">
        <v>38</v>
      </c>
      <c r="H84" s="19">
        <v>7980</v>
      </c>
      <c r="I84" s="19" t="s">
        <v>24</v>
      </c>
      <c r="J84" s="28" t="s">
        <v>67</v>
      </c>
      <c r="K84" s="19" t="s">
        <v>68</v>
      </c>
    </row>
    <row r="85" spans="1:11" x14ac:dyDescent="0.45">
      <c r="A85" s="27" t="s">
        <v>60</v>
      </c>
      <c r="B85" s="27" t="s">
        <v>267</v>
      </c>
      <c r="C85" s="27" t="s">
        <v>4</v>
      </c>
      <c r="D85" s="27" t="s">
        <v>61</v>
      </c>
      <c r="E85" s="20" t="s">
        <v>62</v>
      </c>
      <c r="F85" s="20">
        <v>240</v>
      </c>
      <c r="G85" s="19">
        <v>40</v>
      </c>
      <c r="H85" s="19">
        <v>9600</v>
      </c>
      <c r="I85" s="19" t="s">
        <v>63</v>
      </c>
      <c r="J85" s="28" t="s">
        <v>64</v>
      </c>
      <c r="K85" s="19" t="s">
        <v>65</v>
      </c>
    </row>
    <row r="86" spans="1:11" x14ac:dyDescent="0.45">
      <c r="A86" s="27" t="s">
        <v>60</v>
      </c>
      <c r="B86" s="27" t="s">
        <v>268</v>
      </c>
      <c r="C86" s="27" t="s">
        <v>4</v>
      </c>
      <c r="D86" s="27" t="s">
        <v>61</v>
      </c>
      <c r="E86" s="20" t="s">
        <v>62</v>
      </c>
      <c r="F86" s="20">
        <v>240</v>
      </c>
      <c r="G86" s="19">
        <v>40</v>
      </c>
      <c r="H86" s="19">
        <v>9600</v>
      </c>
      <c r="I86" s="19" t="s">
        <v>63</v>
      </c>
      <c r="J86" s="28" t="s">
        <v>64</v>
      </c>
      <c r="K86" s="19" t="s">
        <v>65</v>
      </c>
    </row>
    <row r="87" spans="1:11" x14ac:dyDescent="0.45">
      <c r="A87" s="27" t="s">
        <v>60</v>
      </c>
      <c r="B87" s="27" t="s">
        <v>269</v>
      </c>
      <c r="C87" s="27" t="s">
        <v>4</v>
      </c>
      <c r="D87" s="27" t="s">
        <v>61</v>
      </c>
      <c r="E87" s="20" t="s">
        <v>62</v>
      </c>
      <c r="F87" s="20">
        <v>240</v>
      </c>
      <c r="G87" s="19">
        <v>40</v>
      </c>
      <c r="H87" s="19">
        <v>9600</v>
      </c>
      <c r="I87" s="19" t="s">
        <v>63</v>
      </c>
      <c r="J87" s="28" t="s">
        <v>64</v>
      </c>
      <c r="K87" s="19" t="s">
        <v>65</v>
      </c>
    </row>
    <row r="88" spans="1:11" x14ac:dyDescent="0.45">
      <c r="A88" s="27" t="s">
        <v>60</v>
      </c>
      <c r="B88" s="27" t="s">
        <v>270</v>
      </c>
      <c r="C88" s="27" t="s">
        <v>4</v>
      </c>
      <c r="D88" s="27" t="s">
        <v>61</v>
      </c>
      <c r="E88" s="20" t="s">
        <v>62</v>
      </c>
      <c r="F88" s="20">
        <v>240</v>
      </c>
      <c r="G88" s="19">
        <v>39</v>
      </c>
      <c r="H88" s="19">
        <v>9360</v>
      </c>
      <c r="I88" s="19" t="s">
        <v>63</v>
      </c>
      <c r="J88" s="28" t="s">
        <v>64</v>
      </c>
      <c r="K88" s="19" t="s">
        <v>65</v>
      </c>
    </row>
    <row r="89" spans="1:11" x14ac:dyDescent="0.45">
      <c r="A89" s="27" t="s">
        <v>60</v>
      </c>
      <c r="B89" s="27" t="s">
        <v>271</v>
      </c>
      <c r="C89" s="27" t="s">
        <v>4</v>
      </c>
      <c r="D89" s="27" t="s">
        <v>61</v>
      </c>
      <c r="E89" s="20" t="s">
        <v>62</v>
      </c>
      <c r="F89" s="20">
        <v>240</v>
      </c>
      <c r="G89" s="19">
        <v>39</v>
      </c>
      <c r="H89" s="19">
        <v>9360</v>
      </c>
      <c r="I89" s="19" t="s">
        <v>63</v>
      </c>
      <c r="J89" s="28" t="s">
        <v>64</v>
      </c>
      <c r="K89" s="19" t="s">
        <v>65</v>
      </c>
    </row>
    <row r="90" spans="1:11" x14ac:dyDescent="0.45">
      <c r="A90" s="27" t="s">
        <v>60</v>
      </c>
      <c r="B90" s="27" t="s">
        <v>272</v>
      </c>
      <c r="C90" s="27" t="s">
        <v>4</v>
      </c>
      <c r="D90" s="27" t="s">
        <v>61</v>
      </c>
      <c r="E90" s="20" t="s">
        <v>62</v>
      </c>
      <c r="F90" s="20">
        <v>240</v>
      </c>
      <c r="G90" s="19">
        <v>39</v>
      </c>
      <c r="H90" s="19">
        <v>9360</v>
      </c>
      <c r="I90" s="19" t="s">
        <v>63</v>
      </c>
      <c r="J90" s="28" t="s">
        <v>64</v>
      </c>
      <c r="K90" s="19" t="s">
        <v>65</v>
      </c>
    </row>
    <row r="91" spans="1:11" x14ac:dyDescent="0.45">
      <c r="A91" s="27" t="s">
        <v>60</v>
      </c>
      <c r="B91" s="27" t="s">
        <v>273</v>
      </c>
      <c r="C91" s="27" t="s">
        <v>4</v>
      </c>
      <c r="D91" s="27" t="s">
        <v>61</v>
      </c>
      <c r="E91" s="20" t="s">
        <v>62</v>
      </c>
      <c r="F91" s="20">
        <v>240</v>
      </c>
      <c r="G91" s="19">
        <v>39</v>
      </c>
      <c r="H91" s="19">
        <v>9360</v>
      </c>
      <c r="I91" s="19" t="s">
        <v>63</v>
      </c>
      <c r="J91" s="28" t="s">
        <v>64</v>
      </c>
      <c r="K91" s="19" t="s">
        <v>65</v>
      </c>
    </row>
    <row r="92" spans="1:11" x14ac:dyDescent="0.45">
      <c r="A92" s="27" t="s">
        <v>60</v>
      </c>
      <c r="B92" s="27" t="s">
        <v>274</v>
      </c>
      <c r="C92" s="27" t="s">
        <v>4</v>
      </c>
      <c r="D92" s="27" t="s">
        <v>61</v>
      </c>
      <c r="E92" s="20" t="s">
        <v>62</v>
      </c>
      <c r="F92" s="20">
        <v>240</v>
      </c>
      <c r="G92" s="19">
        <v>39</v>
      </c>
      <c r="H92" s="19">
        <v>9360</v>
      </c>
      <c r="I92" s="19" t="s">
        <v>63</v>
      </c>
      <c r="J92" s="28" t="s">
        <v>64</v>
      </c>
      <c r="K92" s="19" t="s">
        <v>65</v>
      </c>
    </row>
    <row r="93" spans="1:11" x14ac:dyDescent="0.45">
      <c r="A93" s="27" t="s">
        <v>60</v>
      </c>
      <c r="B93" s="27" t="s">
        <v>275</v>
      </c>
      <c r="C93" s="27" t="s">
        <v>4</v>
      </c>
      <c r="D93" s="27" t="s">
        <v>61</v>
      </c>
      <c r="E93" s="20" t="s">
        <v>62</v>
      </c>
      <c r="F93" s="20">
        <v>240</v>
      </c>
      <c r="G93" s="19">
        <v>38</v>
      </c>
      <c r="H93" s="19">
        <v>9120</v>
      </c>
      <c r="I93" s="19" t="s">
        <v>63</v>
      </c>
      <c r="J93" s="28" t="s">
        <v>64</v>
      </c>
      <c r="K93" s="19" t="s">
        <v>65</v>
      </c>
    </row>
    <row r="94" spans="1:11" x14ac:dyDescent="0.45">
      <c r="A94" s="27" t="s">
        <v>60</v>
      </c>
      <c r="B94" s="27" t="s">
        <v>276</v>
      </c>
      <c r="C94" s="27" t="s">
        <v>4</v>
      </c>
      <c r="D94" s="27" t="s">
        <v>61</v>
      </c>
      <c r="E94" s="20" t="s">
        <v>62</v>
      </c>
      <c r="F94" s="20">
        <v>240</v>
      </c>
      <c r="G94" s="19">
        <v>37</v>
      </c>
      <c r="H94" s="19">
        <v>8880</v>
      </c>
      <c r="I94" s="19" t="s">
        <v>63</v>
      </c>
      <c r="J94" s="28" t="s">
        <v>64</v>
      </c>
      <c r="K94" s="19" t="s">
        <v>65</v>
      </c>
    </row>
    <row r="95" spans="1:11" x14ac:dyDescent="0.45">
      <c r="A95" s="27" t="s">
        <v>60</v>
      </c>
      <c r="B95" s="27" t="s">
        <v>277</v>
      </c>
      <c r="C95" s="27" t="s">
        <v>4</v>
      </c>
      <c r="D95" s="27" t="s">
        <v>61</v>
      </c>
      <c r="E95" s="20" t="s">
        <v>62</v>
      </c>
      <c r="F95" s="20">
        <v>240</v>
      </c>
      <c r="G95" s="19">
        <v>39</v>
      </c>
      <c r="H95" s="19">
        <v>9360</v>
      </c>
      <c r="I95" s="19" t="s">
        <v>63</v>
      </c>
      <c r="J95" s="28" t="s">
        <v>64</v>
      </c>
      <c r="K95" s="19" t="s">
        <v>65</v>
      </c>
    </row>
    <row r="96" spans="1:11" x14ac:dyDescent="0.45">
      <c r="A96" s="27" t="s">
        <v>60</v>
      </c>
      <c r="B96" s="27" t="s">
        <v>278</v>
      </c>
      <c r="C96" s="27" t="s">
        <v>4</v>
      </c>
      <c r="D96" s="27" t="s">
        <v>61</v>
      </c>
      <c r="E96" s="20" t="s">
        <v>62</v>
      </c>
      <c r="F96" s="20">
        <v>240</v>
      </c>
      <c r="G96" s="19">
        <v>38</v>
      </c>
      <c r="H96" s="19">
        <v>9120</v>
      </c>
      <c r="I96" s="19" t="s">
        <v>63</v>
      </c>
      <c r="J96" s="28" t="s">
        <v>64</v>
      </c>
      <c r="K96" s="19" t="s">
        <v>65</v>
      </c>
    </row>
    <row r="97" spans="1:11" x14ac:dyDescent="0.45">
      <c r="A97" s="27" t="s">
        <v>60</v>
      </c>
      <c r="B97" s="27" t="s">
        <v>279</v>
      </c>
      <c r="C97" s="27" t="s">
        <v>4</v>
      </c>
      <c r="D97" s="27" t="s">
        <v>61</v>
      </c>
      <c r="E97" s="20" t="s">
        <v>62</v>
      </c>
      <c r="F97" s="20">
        <v>240</v>
      </c>
      <c r="G97" s="19">
        <v>39</v>
      </c>
      <c r="H97" s="19">
        <v>9360</v>
      </c>
      <c r="I97" s="19" t="s">
        <v>63</v>
      </c>
      <c r="J97" s="28" t="s">
        <v>64</v>
      </c>
      <c r="K97" s="19" t="s">
        <v>65</v>
      </c>
    </row>
    <row r="98" spans="1:11" x14ac:dyDescent="0.45">
      <c r="A98" s="27" t="s">
        <v>60</v>
      </c>
      <c r="B98" s="27" t="s">
        <v>280</v>
      </c>
      <c r="C98" s="27" t="s">
        <v>4</v>
      </c>
      <c r="D98" s="27" t="s">
        <v>61</v>
      </c>
      <c r="E98" s="20" t="s">
        <v>62</v>
      </c>
      <c r="F98" s="20">
        <v>240</v>
      </c>
      <c r="G98" s="19">
        <v>39</v>
      </c>
      <c r="H98" s="19">
        <v>9360</v>
      </c>
      <c r="I98" s="19" t="s">
        <v>63</v>
      </c>
      <c r="J98" s="28" t="s">
        <v>64</v>
      </c>
      <c r="K98" s="19" t="s">
        <v>65</v>
      </c>
    </row>
    <row r="99" spans="1:11" x14ac:dyDescent="0.45">
      <c r="A99" s="27" t="s">
        <v>245</v>
      </c>
      <c r="B99" s="27" t="s">
        <v>317</v>
      </c>
      <c r="C99" s="27" t="s">
        <v>4</v>
      </c>
      <c r="D99" s="27" t="s">
        <v>61</v>
      </c>
      <c r="E99" s="20" t="s">
        <v>62</v>
      </c>
      <c r="F99" s="20">
        <v>240</v>
      </c>
      <c r="G99" s="19">
        <v>20</v>
      </c>
      <c r="H99" s="19">
        <v>4800</v>
      </c>
      <c r="I99" s="19" t="s">
        <v>63</v>
      </c>
      <c r="J99" s="28" t="s">
        <v>64</v>
      </c>
      <c r="K99" s="19" t="s">
        <v>65</v>
      </c>
    </row>
    <row r="100" spans="1:11" x14ac:dyDescent="0.45">
      <c r="A100" s="27" t="s">
        <v>245</v>
      </c>
      <c r="B100" s="27" t="s">
        <v>318</v>
      </c>
      <c r="C100" s="27" t="s">
        <v>4</v>
      </c>
      <c r="D100" s="27" t="s">
        <v>61</v>
      </c>
      <c r="E100" s="20" t="s">
        <v>62</v>
      </c>
      <c r="F100" s="20">
        <v>240</v>
      </c>
      <c r="G100" s="19">
        <v>21</v>
      </c>
      <c r="H100" s="19">
        <v>5040</v>
      </c>
      <c r="I100" s="19" t="s">
        <v>63</v>
      </c>
      <c r="J100" s="28" t="s">
        <v>64</v>
      </c>
      <c r="K100" s="19" t="s">
        <v>65</v>
      </c>
    </row>
    <row r="101" spans="1:11" x14ac:dyDescent="0.45">
      <c r="A101" s="27" t="s">
        <v>245</v>
      </c>
      <c r="B101" s="27" t="s">
        <v>319</v>
      </c>
      <c r="C101" s="27" t="s">
        <v>4</v>
      </c>
      <c r="D101" s="27" t="s">
        <v>61</v>
      </c>
      <c r="E101" s="20" t="s">
        <v>62</v>
      </c>
      <c r="F101" s="20">
        <v>240</v>
      </c>
      <c r="G101" s="19">
        <v>20</v>
      </c>
      <c r="H101" s="19">
        <v>4800</v>
      </c>
      <c r="I101" s="19" t="s">
        <v>63</v>
      </c>
      <c r="J101" s="28" t="s">
        <v>64</v>
      </c>
      <c r="K101" s="19" t="s">
        <v>65</v>
      </c>
    </row>
    <row r="102" spans="1:11" x14ac:dyDescent="0.45">
      <c r="A102" s="27" t="s">
        <v>245</v>
      </c>
      <c r="B102" s="27" t="s">
        <v>320</v>
      </c>
      <c r="C102" s="27" t="s">
        <v>4</v>
      </c>
      <c r="D102" s="27" t="s">
        <v>61</v>
      </c>
      <c r="E102" s="20" t="s">
        <v>62</v>
      </c>
      <c r="F102" s="20">
        <v>240</v>
      </c>
      <c r="G102" s="19">
        <v>7</v>
      </c>
      <c r="H102" s="19">
        <v>1680</v>
      </c>
      <c r="I102" s="19" t="s">
        <v>63</v>
      </c>
      <c r="J102" s="28" t="s">
        <v>64</v>
      </c>
      <c r="K102" s="19" t="s">
        <v>65</v>
      </c>
    </row>
    <row r="103" spans="1:11" x14ac:dyDescent="0.45">
      <c r="A103" s="27" t="s">
        <v>245</v>
      </c>
      <c r="B103" s="27" t="s">
        <v>321</v>
      </c>
      <c r="C103" s="27" t="s">
        <v>4</v>
      </c>
      <c r="D103" s="27" t="s">
        <v>61</v>
      </c>
      <c r="E103" s="20" t="s">
        <v>62</v>
      </c>
      <c r="F103" s="20">
        <v>240</v>
      </c>
      <c r="G103" s="19">
        <v>10</v>
      </c>
      <c r="H103" s="19">
        <v>2400</v>
      </c>
      <c r="I103" s="19" t="s">
        <v>63</v>
      </c>
      <c r="J103" s="28" t="s">
        <v>64</v>
      </c>
      <c r="K103" s="19" t="s">
        <v>65</v>
      </c>
    </row>
    <row r="104" spans="1:11" x14ac:dyDescent="0.45">
      <c r="A104" s="27" t="s">
        <v>245</v>
      </c>
      <c r="B104" s="27" t="s">
        <v>317</v>
      </c>
      <c r="C104" s="27" t="s">
        <v>4</v>
      </c>
      <c r="D104" s="27" t="s">
        <v>61</v>
      </c>
      <c r="E104" s="20" t="s">
        <v>210</v>
      </c>
      <c r="F104" s="20">
        <v>210</v>
      </c>
      <c r="G104" s="19">
        <v>20</v>
      </c>
      <c r="H104" s="19">
        <v>4200</v>
      </c>
      <c r="I104" s="19" t="s">
        <v>211</v>
      </c>
      <c r="J104" s="28" t="s">
        <v>212</v>
      </c>
      <c r="K104" s="19" t="s">
        <v>213</v>
      </c>
    </row>
    <row r="105" spans="1:11" x14ac:dyDescent="0.45">
      <c r="A105" s="27" t="s">
        <v>245</v>
      </c>
      <c r="B105" s="27" t="s">
        <v>318</v>
      </c>
      <c r="C105" s="27" t="s">
        <v>4</v>
      </c>
      <c r="D105" s="27" t="s">
        <v>61</v>
      </c>
      <c r="E105" s="20" t="s">
        <v>210</v>
      </c>
      <c r="F105" s="20">
        <v>210</v>
      </c>
      <c r="G105" s="19">
        <v>21</v>
      </c>
      <c r="H105" s="19">
        <v>4410</v>
      </c>
      <c r="I105" s="19" t="s">
        <v>211</v>
      </c>
      <c r="J105" s="28" t="s">
        <v>212</v>
      </c>
      <c r="K105" s="19" t="s">
        <v>213</v>
      </c>
    </row>
    <row r="106" spans="1:11" x14ac:dyDescent="0.45">
      <c r="A106" s="27" t="s">
        <v>245</v>
      </c>
      <c r="B106" s="27" t="s">
        <v>319</v>
      </c>
      <c r="C106" s="27" t="s">
        <v>4</v>
      </c>
      <c r="D106" s="27" t="s">
        <v>61</v>
      </c>
      <c r="E106" s="20" t="s">
        <v>210</v>
      </c>
      <c r="F106" s="20">
        <v>210</v>
      </c>
      <c r="G106" s="19">
        <v>20</v>
      </c>
      <c r="H106" s="19">
        <v>4200</v>
      </c>
      <c r="I106" s="19" t="s">
        <v>211</v>
      </c>
      <c r="J106" s="28" t="s">
        <v>212</v>
      </c>
      <c r="K106" s="19" t="s">
        <v>213</v>
      </c>
    </row>
    <row r="107" spans="1:11" x14ac:dyDescent="0.45">
      <c r="A107" s="27" t="s">
        <v>245</v>
      </c>
      <c r="B107" s="27" t="s">
        <v>321</v>
      </c>
      <c r="C107" s="27" t="s">
        <v>4</v>
      </c>
      <c r="D107" s="27" t="s">
        <v>61</v>
      </c>
      <c r="E107" s="20" t="s">
        <v>210</v>
      </c>
      <c r="F107" s="20">
        <v>210</v>
      </c>
      <c r="G107" s="19">
        <v>10</v>
      </c>
      <c r="H107" s="19">
        <v>2100</v>
      </c>
      <c r="I107" s="19" t="s">
        <v>211</v>
      </c>
      <c r="J107" s="28" t="s">
        <v>212</v>
      </c>
      <c r="K107" s="19" t="s">
        <v>213</v>
      </c>
    </row>
    <row r="108" spans="1:11" x14ac:dyDescent="0.45">
      <c r="A108" s="27" t="s">
        <v>60</v>
      </c>
      <c r="B108" s="27" t="s">
        <v>267</v>
      </c>
      <c r="C108" s="27" t="s">
        <v>4</v>
      </c>
      <c r="D108" s="27" t="s">
        <v>74</v>
      </c>
      <c r="E108" s="20" t="s">
        <v>83</v>
      </c>
      <c r="F108" s="20">
        <v>200</v>
      </c>
      <c r="G108" s="19">
        <v>40</v>
      </c>
      <c r="H108" s="19">
        <v>8000</v>
      </c>
      <c r="I108" s="19" t="s">
        <v>84</v>
      </c>
      <c r="J108" s="28" t="s">
        <v>85</v>
      </c>
      <c r="K108" s="19" t="s">
        <v>86</v>
      </c>
    </row>
    <row r="109" spans="1:11" x14ac:dyDescent="0.45">
      <c r="A109" s="27" t="s">
        <v>60</v>
      </c>
      <c r="B109" s="27" t="s">
        <v>268</v>
      </c>
      <c r="C109" s="27" t="s">
        <v>4</v>
      </c>
      <c r="D109" s="27" t="s">
        <v>74</v>
      </c>
      <c r="E109" s="20" t="s">
        <v>83</v>
      </c>
      <c r="F109" s="20">
        <v>200</v>
      </c>
      <c r="G109" s="19">
        <v>40</v>
      </c>
      <c r="H109" s="19">
        <v>8000</v>
      </c>
      <c r="I109" s="19" t="s">
        <v>84</v>
      </c>
      <c r="J109" s="28" t="s">
        <v>85</v>
      </c>
      <c r="K109" s="19" t="s">
        <v>86</v>
      </c>
    </row>
    <row r="110" spans="1:11" x14ac:dyDescent="0.45">
      <c r="A110" s="27" t="s">
        <v>60</v>
      </c>
      <c r="B110" s="27" t="s">
        <v>269</v>
      </c>
      <c r="C110" s="27" t="s">
        <v>4</v>
      </c>
      <c r="D110" s="27" t="s">
        <v>74</v>
      </c>
      <c r="E110" s="20" t="s">
        <v>83</v>
      </c>
      <c r="F110" s="20">
        <v>200</v>
      </c>
      <c r="G110" s="19">
        <v>40</v>
      </c>
      <c r="H110" s="19">
        <v>8000</v>
      </c>
      <c r="I110" s="19" t="s">
        <v>84</v>
      </c>
      <c r="J110" s="28" t="s">
        <v>85</v>
      </c>
      <c r="K110" s="19" t="s">
        <v>86</v>
      </c>
    </row>
    <row r="111" spans="1:11" x14ac:dyDescent="0.45">
      <c r="A111" s="27" t="s">
        <v>60</v>
      </c>
      <c r="B111" s="27" t="s">
        <v>270</v>
      </c>
      <c r="C111" s="27" t="s">
        <v>4</v>
      </c>
      <c r="D111" s="27" t="s">
        <v>74</v>
      </c>
      <c r="E111" s="20" t="s">
        <v>83</v>
      </c>
      <c r="F111" s="20">
        <v>200</v>
      </c>
      <c r="G111" s="19">
        <v>39</v>
      </c>
      <c r="H111" s="19">
        <v>7800</v>
      </c>
      <c r="I111" s="19" t="s">
        <v>84</v>
      </c>
      <c r="J111" s="28" t="s">
        <v>85</v>
      </c>
      <c r="K111" s="19" t="s">
        <v>86</v>
      </c>
    </row>
    <row r="112" spans="1:11" x14ac:dyDescent="0.45">
      <c r="A112" s="27" t="s">
        <v>60</v>
      </c>
      <c r="B112" s="27" t="s">
        <v>271</v>
      </c>
      <c r="C112" s="27" t="s">
        <v>4</v>
      </c>
      <c r="D112" s="27" t="s">
        <v>74</v>
      </c>
      <c r="E112" s="20" t="s">
        <v>83</v>
      </c>
      <c r="F112" s="20">
        <v>200</v>
      </c>
      <c r="G112" s="19">
        <v>39</v>
      </c>
      <c r="H112" s="19">
        <v>7800</v>
      </c>
      <c r="I112" s="19" t="s">
        <v>84</v>
      </c>
      <c r="J112" s="28" t="s">
        <v>85</v>
      </c>
      <c r="K112" s="19" t="s">
        <v>86</v>
      </c>
    </row>
    <row r="113" spans="1:11" x14ac:dyDescent="0.45">
      <c r="A113" s="27" t="s">
        <v>60</v>
      </c>
      <c r="B113" s="27" t="s">
        <v>272</v>
      </c>
      <c r="C113" s="27" t="s">
        <v>4</v>
      </c>
      <c r="D113" s="27" t="s">
        <v>74</v>
      </c>
      <c r="E113" s="20" t="s">
        <v>83</v>
      </c>
      <c r="F113" s="20">
        <v>200</v>
      </c>
      <c r="G113" s="19">
        <v>39</v>
      </c>
      <c r="H113" s="19">
        <v>7800</v>
      </c>
      <c r="I113" s="19" t="s">
        <v>84</v>
      </c>
      <c r="J113" s="28" t="s">
        <v>85</v>
      </c>
      <c r="K113" s="19" t="s">
        <v>86</v>
      </c>
    </row>
    <row r="114" spans="1:11" x14ac:dyDescent="0.45">
      <c r="A114" s="27" t="s">
        <v>60</v>
      </c>
      <c r="B114" s="27" t="s">
        <v>273</v>
      </c>
      <c r="C114" s="27" t="s">
        <v>4</v>
      </c>
      <c r="D114" s="27" t="s">
        <v>74</v>
      </c>
      <c r="E114" s="20" t="s">
        <v>83</v>
      </c>
      <c r="F114" s="20">
        <v>200</v>
      </c>
      <c r="G114" s="19">
        <v>39</v>
      </c>
      <c r="H114" s="19">
        <v>7800</v>
      </c>
      <c r="I114" s="19" t="s">
        <v>84</v>
      </c>
      <c r="J114" s="28" t="s">
        <v>85</v>
      </c>
      <c r="K114" s="19" t="s">
        <v>86</v>
      </c>
    </row>
    <row r="115" spans="1:11" x14ac:dyDescent="0.45">
      <c r="A115" s="27" t="s">
        <v>60</v>
      </c>
      <c r="B115" s="27" t="s">
        <v>274</v>
      </c>
      <c r="C115" s="27" t="s">
        <v>4</v>
      </c>
      <c r="D115" s="27" t="s">
        <v>74</v>
      </c>
      <c r="E115" s="20" t="s">
        <v>83</v>
      </c>
      <c r="F115" s="20">
        <v>200</v>
      </c>
      <c r="G115" s="19">
        <v>39</v>
      </c>
      <c r="H115" s="19">
        <v>7800</v>
      </c>
      <c r="I115" s="19" t="s">
        <v>84</v>
      </c>
      <c r="J115" s="28" t="s">
        <v>85</v>
      </c>
      <c r="K115" s="19" t="s">
        <v>86</v>
      </c>
    </row>
    <row r="116" spans="1:11" x14ac:dyDescent="0.45">
      <c r="A116" s="27" t="s">
        <v>60</v>
      </c>
      <c r="B116" s="27" t="s">
        <v>275</v>
      </c>
      <c r="C116" s="27" t="s">
        <v>4</v>
      </c>
      <c r="D116" s="27" t="s">
        <v>74</v>
      </c>
      <c r="E116" s="20" t="s">
        <v>83</v>
      </c>
      <c r="F116" s="20">
        <v>200</v>
      </c>
      <c r="G116" s="19">
        <v>38</v>
      </c>
      <c r="H116" s="19">
        <v>7600</v>
      </c>
      <c r="I116" s="19" t="s">
        <v>84</v>
      </c>
      <c r="J116" s="28" t="s">
        <v>85</v>
      </c>
      <c r="K116" s="19" t="s">
        <v>86</v>
      </c>
    </row>
    <row r="117" spans="1:11" x14ac:dyDescent="0.45">
      <c r="A117" s="27" t="s">
        <v>60</v>
      </c>
      <c r="B117" s="27" t="s">
        <v>276</v>
      </c>
      <c r="C117" s="27" t="s">
        <v>4</v>
      </c>
      <c r="D117" s="27" t="s">
        <v>74</v>
      </c>
      <c r="E117" s="20" t="s">
        <v>83</v>
      </c>
      <c r="F117" s="20">
        <v>200</v>
      </c>
      <c r="G117" s="19">
        <v>37</v>
      </c>
      <c r="H117" s="19">
        <v>7400</v>
      </c>
      <c r="I117" s="19" t="s">
        <v>84</v>
      </c>
      <c r="J117" s="28" t="s">
        <v>85</v>
      </c>
      <c r="K117" s="19" t="s">
        <v>86</v>
      </c>
    </row>
    <row r="118" spans="1:11" x14ac:dyDescent="0.45">
      <c r="A118" s="27" t="s">
        <v>60</v>
      </c>
      <c r="B118" s="27" t="s">
        <v>279</v>
      </c>
      <c r="C118" s="27" t="s">
        <v>4</v>
      </c>
      <c r="D118" s="27" t="s">
        <v>74</v>
      </c>
      <c r="E118" s="20" t="s">
        <v>83</v>
      </c>
      <c r="F118" s="20">
        <v>200</v>
      </c>
      <c r="G118" s="19">
        <v>39</v>
      </c>
      <c r="H118" s="19">
        <v>7800</v>
      </c>
      <c r="I118" s="19" t="s">
        <v>84</v>
      </c>
      <c r="J118" s="28" t="s">
        <v>85</v>
      </c>
      <c r="K118" s="19" t="s">
        <v>86</v>
      </c>
    </row>
    <row r="119" spans="1:11" x14ac:dyDescent="0.45">
      <c r="A119" s="27" t="s">
        <v>60</v>
      </c>
      <c r="B119" s="27" t="s">
        <v>280</v>
      </c>
      <c r="C119" s="27" t="s">
        <v>4</v>
      </c>
      <c r="D119" s="27" t="s">
        <v>74</v>
      </c>
      <c r="E119" s="20" t="s">
        <v>83</v>
      </c>
      <c r="F119" s="20">
        <v>200</v>
      </c>
      <c r="G119" s="19">
        <v>39</v>
      </c>
      <c r="H119" s="19">
        <v>7800</v>
      </c>
      <c r="I119" s="19" t="s">
        <v>84</v>
      </c>
      <c r="J119" s="28" t="s">
        <v>85</v>
      </c>
      <c r="K119" s="19" t="s">
        <v>86</v>
      </c>
    </row>
    <row r="120" spans="1:11" x14ac:dyDescent="0.45">
      <c r="A120" s="27" t="s">
        <v>245</v>
      </c>
      <c r="B120" s="27" t="s">
        <v>317</v>
      </c>
      <c r="C120" s="27" t="s">
        <v>4</v>
      </c>
      <c r="D120" s="27" t="s">
        <v>74</v>
      </c>
      <c r="E120" s="20" t="s">
        <v>83</v>
      </c>
      <c r="F120" s="20">
        <v>200</v>
      </c>
      <c r="G120" s="19">
        <v>20</v>
      </c>
      <c r="H120" s="19">
        <v>4000</v>
      </c>
      <c r="I120" s="19" t="s">
        <v>84</v>
      </c>
      <c r="J120" s="28" t="s">
        <v>85</v>
      </c>
      <c r="K120" s="19" t="s">
        <v>86</v>
      </c>
    </row>
    <row r="121" spans="1:11" x14ac:dyDescent="0.45">
      <c r="A121" s="27" t="s">
        <v>245</v>
      </c>
      <c r="B121" s="27" t="s">
        <v>318</v>
      </c>
      <c r="C121" s="27" t="s">
        <v>4</v>
      </c>
      <c r="D121" s="27" t="s">
        <v>74</v>
      </c>
      <c r="E121" s="20" t="s">
        <v>83</v>
      </c>
      <c r="F121" s="20">
        <v>200</v>
      </c>
      <c r="G121" s="19">
        <v>21</v>
      </c>
      <c r="H121" s="19">
        <v>4200</v>
      </c>
      <c r="I121" s="19" t="s">
        <v>84</v>
      </c>
      <c r="J121" s="28" t="s">
        <v>85</v>
      </c>
      <c r="K121" s="19" t="s">
        <v>86</v>
      </c>
    </row>
    <row r="122" spans="1:11" x14ac:dyDescent="0.45">
      <c r="A122" s="27" t="s">
        <v>245</v>
      </c>
      <c r="B122" s="27" t="s">
        <v>319</v>
      </c>
      <c r="C122" s="27" t="s">
        <v>4</v>
      </c>
      <c r="D122" s="27" t="s">
        <v>74</v>
      </c>
      <c r="E122" s="20" t="s">
        <v>83</v>
      </c>
      <c r="F122" s="20">
        <v>200</v>
      </c>
      <c r="G122" s="19">
        <v>20</v>
      </c>
      <c r="H122" s="19">
        <v>4000</v>
      </c>
      <c r="I122" s="19" t="s">
        <v>84</v>
      </c>
      <c r="J122" s="28" t="s">
        <v>85</v>
      </c>
      <c r="K122" s="19" t="s">
        <v>86</v>
      </c>
    </row>
    <row r="123" spans="1:11" x14ac:dyDescent="0.45">
      <c r="A123" s="27" t="s">
        <v>245</v>
      </c>
      <c r="B123" s="27" t="s">
        <v>320</v>
      </c>
      <c r="C123" s="27" t="s">
        <v>4</v>
      </c>
      <c r="D123" s="27" t="s">
        <v>74</v>
      </c>
      <c r="E123" s="20" t="s">
        <v>83</v>
      </c>
      <c r="F123" s="20">
        <v>200</v>
      </c>
      <c r="G123" s="19">
        <v>7</v>
      </c>
      <c r="H123" s="19">
        <v>1400</v>
      </c>
      <c r="I123" s="19" t="s">
        <v>84</v>
      </c>
      <c r="J123" s="28" t="s">
        <v>85</v>
      </c>
      <c r="K123" s="19" t="s">
        <v>86</v>
      </c>
    </row>
    <row r="124" spans="1:11" x14ac:dyDescent="0.45">
      <c r="A124" s="27" t="s">
        <v>245</v>
      </c>
      <c r="B124" s="27" t="s">
        <v>321</v>
      </c>
      <c r="C124" s="27" t="s">
        <v>4</v>
      </c>
      <c r="D124" s="27" t="s">
        <v>74</v>
      </c>
      <c r="E124" s="20" t="s">
        <v>83</v>
      </c>
      <c r="F124" s="20">
        <v>200</v>
      </c>
      <c r="G124" s="19">
        <v>10</v>
      </c>
      <c r="H124" s="19">
        <v>2000</v>
      </c>
      <c r="I124" s="19" t="s">
        <v>84</v>
      </c>
      <c r="J124" s="28" t="s">
        <v>85</v>
      </c>
      <c r="K124" s="19" t="s">
        <v>86</v>
      </c>
    </row>
    <row r="125" spans="1:11" x14ac:dyDescent="0.45">
      <c r="A125" s="27" t="s">
        <v>60</v>
      </c>
      <c r="B125" s="27" t="s">
        <v>267</v>
      </c>
      <c r="C125" s="27" t="s">
        <v>4</v>
      </c>
      <c r="D125" s="27" t="s">
        <v>74</v>
      </c>
      <c r="E125" s="20" t="s">
        <v>75</v>
      </c>
      <c r="F125" s="20">
        <v>200</v>
      </c>
      <c r="G125" s="19">
        <v>40</v>
      </c>
      <c r="H125" s="19">
        <v>8000</v>
      </c>
      <c r="I125" s="19" t="s">
        <v>520</v>
      </c>
      <c r="J125" s="28" t="s">
        <v>76</v>
      </c>
      <c r="K125" s="19" t="s">
        <v>77</v>
      </c>
    </row>
    <row r="126" spans="1:11" x14ac:dyDescent="0.45">
      <c r="A126" s="27" t="s">
        <v>60</v>
      </c>
      <c r="B126" s="27" t="s">
        <v>268</v>
      </c>
      <c r="C126" s="27" t="s">
        <v>4</v>
      </c>
      <c r="D126" s="27" t="s">
        <v>74</v>
      </c>
      <c r="E126" s="20" t="s">
        <v>75</v>
      </c>
      <c r="F126" s="20">
        <v>200</v>
      </c>
      <c r="G126" s="19">
        <v>40</v>
      </c>
      <c r="H126" s="19">
        <v>8000</v>
      </c>
      <c r="I126" s="19" t="s">
        <v>520</v>
      </c>
      <c r="J126" s="28" t="s">
        <v>76</v>
      </c>
      <c r="K126" s="19" t="s">
        <v>77</v>
      </c>
    </row>
    <row r="127" spans="1:11" x14ac:dyDescent="0.45">
      <c r="A127" s="27" t="s">
        <v>60</v>
      </c>
      <c r="B127" s="27" t="s">
        <v>269</v>
      </c>
      <c r="C127" s="27" t="s">
        <v>4</v>
      </c>
      <c r="D127" s="27" t="s">
        <v>74</v>
      </c>
      <c r="E127" s="20" t="s">
        <v>75</v>
      </c>
      <c r="F127" s="20">
        <v>200</v>
      </c>
      <c r="G127" s="19">
        <v>40</v>
      </c>
      <c r="H127" s="19">
        <v>8000</v>
      </c>
      <c r="I127" s="19" t="s">
        <v>520</v>
      </c>
      <c r="J127" s="28" t="s">
        <v>76</v>
      </c>
      <c r="K127" s="19" t="s">
        <v>77</v>
      </c>
    </row>
    <row r="128" spans="1:11" x14ac:dyDescent="0.45">
      <c r="A128" s="27" t="s">
        <v>60</v>
      </c>
      <c r="B128" s="27" t="s">
        <v>270</v>
      </c>
      <c r="C128" s="27" t="s">
        <v>4</v>
      </c>
      <c r="D128" s="27" t="s">
        <v>74</v>
      </c>
      <c r="E128" s="20" t="s">
        <v>75</v>
      </c>
      <c r="F128" s="20">
        <v>200</v>
      </c>
      <c r="G128" s="19">
        <v>39</v>
      </c>
      <c r="H128" s="19">
        <v>7800</v>
      </c>
      <c r="I128" s="19" t="s">
        <v>520</v>
      </c>
      <c r="J128" s="28" t="s">
        <v>76</v>
      </c>
      <c r="K128" s="19" t="s">
        <v>77</v>
      </c>
    </row>
    <row r="129" spans="1:11" x14ac:dyDescent="0.45">
      <c r="A129" s="27" t="s">
        <v>60</v>
      </c>
      <c r="B129" s="27" t="s">
        <v>271</v>
      </c>
      <c r="C129" s="27" t="s">
        <v>4</v>
      </c>
      <c r="D129" s="27" t="s">
        <v>74</v>
      </c>
      <c r="E129" s="20" t="s">
        <v>75</v>
      </c>
      <c r="F129" s="20">
        <v>200</v>
      </c>
      <c r="G129" s="19">
        <v>39</v>
      </c>
      <c r="H129" s="19">
        <v>7800</v>
      </c>
      <c r="I129" s="19" t="s">
        <v>520</v>
      </c>
      <c r="J129" s="28" t="s">
        <v>76</v>
      </c>
      <c r="K129" s="19" t="s">
        <v>77</v>
      </c>
    </row>
    <row r="130" spans="1:11" x14ac:dyDescent="0.45">
      <c r="A130" s="27" t="s">
        <v>60</v>
      </c>
      <c r="B130" s="27" t="s">
        <v>272</v>
      </c>
      <c r="C130" s="27" t="s">
        <v>4</v>
      </c>
      <c r="D130" s="27" t="s">
        <v>74</v>
      </c>
      <c r="E130" s="20" t="s">
        <v>75</v>
      </c>
      <c r="F130" s="20">
        <v>200</v>
      </c>
      <c r="G130" s="19">
        <v>39</v>
      </c>
      <c r="H130" s="19">
        <v>7800</v>
      </c>
      <c r="I130" s="19" t="s">
        <v>520</v>
      </c>
      <c r="J130" s="28" t="s">
        <v>76</v>
      </c>
      <c r="K130" s="19" t="s">
        <v>77</v>
      </c>
    </row>
    <row r="131" spans="1:11" x14ac:dyDescent="0.45">
      <c r="A131" s="27" t="s">
        <v>60</v>
      </c>
      <c r="B131" s="27" t="s">
        <v>273</v>
      </c>
      <c r="C131" s="27" t="s">
        <v>4</v>
      </c>
      <c r="D131" s="27" t="s">
        <v>74</v>
      </c>
      <c r="E131" s="20" t="s">
        <v>75</v>
      </c>
      <c r="F131" s="20">
        <v>200</v>
      </c>
      <c r="G131" s="19">
        <v>39</v>
      </c>
      <c r="H131" s="19">
        <v>7800</v>
      </c>
      <c r="I131" s="19" t="s">
        <v>520</v>
      </c>
      <c r="J131" s="28" t="s">
        <v>76</v>
      </c>
      <c r="K131" s="19" t="s">
        <v>77</v>
      </c>
    </row>
    <row r="132" spans="1:11" x14ac:dyDescent="0.45">
      <c r="A132" s="27" t="s">
        <v>60</v>
      </c>
      <c r="B132" s="27" t="s">
        <v>274</v>
      </c>
      <c r="C132" s="27" t="s">
        <v>4</v>
      </c>
      <c r="D132" s="27" t="s">
        <v>74</v>
      </c>
      <c r="E132" s="20" t="s">
        <v>75</v>
      </c>
      <c r="F132" s="20">
        <v>200</v>
      </c>
      <c r="G132" s="19">
        <v>39</v>
      </c>
      <c r="H132" s="19">
        <v>7800</v>
      </c>
      <c r="I132" s="19" t="s">
        <v>520</v>
      </c>
      <c r="J132" s="28" t="s">
        <v>76</v>
      </c>
      <c r="K132" s="19" t="s">
        <v>77</v>
      </c>
    </row>
    <row r="133" spans="1:11" x14ac:dyDescent="0.45">
      <c r="A133" s="27" t="s">
        <v>60</v>
      </c>
      <c r="B133" s="27" t="s">
        <v>275</v>
      </c>
      <c r="C133" s="27" t="s">
        <v>4</v>
      </c>
      <c r="D133" s="27" t="s">
        <v>74</v>
      </c>
      <c r="E133" s="20" t="s">
        <v>75</v>
      </c>
      <c r="F133" s="20">
        <v>200</v>
      </c>
      <c r="G133" s="19">
        <v>38</v>
      </c>
      <c r="H133" s="19">
        <v>7600</v>
      </c>
      <c r="I133" s="19" t="s">
        <v>520</v>
      </c>
      <c r="J133" s="28" t="s">
        <v>76</v>
      </c>
      <c r="K133" s="19" t="s">
        <v>77</v>
      </c>
    </row>
    <row r="134" spans="1:11" x14ac:dyDescent="0.45">
      <c r="A134" s="27" t="s">
        <v>60</v>
      </c>
      <c r="B134" s="27" t="s">
        <v>276</v>
      </c>
      <c r="C134" s="27" t="s">
        <v>4</v>
      </c>
      <c r="D134" s="27" t="s">
        <v>74</v>
      </c>
      <c r="E134" s="20" t="s">
        <v>75</v>
      </c>
      <c r="F134" s="20">
        <v>200</v>
      </c>
      <c r="G134" s="19">
        <v>37</v>
      </c>
      <c r="H134" s="19">
        <v>7400</v>
      </c>
      <c r="I134" s="19" t="s">
        <v>520</v>
      </c>
      <c r="J134" s="28" t="s">
        <v>76</v>
      </c>
      <c r="K134" s="19" t="s">
        <v>77</v>
      </c>
    </row>
    <row r="135" spans="1:11" x14ac:dyDescent="0.45">
      <c r="A135" s="27" t="s">
        <v>60</v>
      </c>
      <c r="B135" s="27" t="s">
        <v>263</v>
      </c>
      <c r="C135" s="27" t="s">
        <v>4</v>
      </c>
      <c r="D135" s="27" t="s">
        <v>27</v>
      </c>
      <c r="E135" s="20" t="s">
        <v>28</v>
      </c>
      <c r="F135" s="20">
        <v>185</v>
      </c>
      <c r="G135" s="19">
        <v>39</v>
      </c>
      <c r="H135" s="19">
        <v>7215</v>
      </c>
      <c r="I135" s="19" t="s">
        <v>29</v>
      </c>
      <c r="J135" s="28" t="s">
        <v>30</v>
      </c>
      <c r="K135" s="19" t="s">
        <v>31</v>
      </c>
    </row>
    <row r="136" spans="1:11" x14ac:dyDescent="0.45">
      <c r="A136" s="27" t="s">
        <v>60</v>
      </c>
      <c r="B136" s="27" t="s">
        <v>264</v>
      </c>
      <c r="C136" s="27" t="s">
        <v>4</v>
      </c>
      <c r="D136" s="27" t="s">
        <v>27</v>
      </c>
      <c r="E136" s="20" t="s">
        <v>28</v>
      </c>
      <c r="F136" s="20">
        <v>185</v>
      </c>
      <c r="G136" s="19">
        <v>39</v>
      </c>
      <c r="H136" s="19">
        <v>7215</v>
      </c>
      <c r="I136" s="19" t="s">
        <v>29</v>
      </c>
      <c r="J136" s="28" t="s">
        <v>30</v>
      </c>
      <c r="K136" s="19" t="s">
        <v>31</v>
      </c>
    </row>
    <row r="137" spans="1:11" x14ac:dyDescent="0.45">
      <c r="A137" s="27" t="s">
        <v>60</v>
      </c>
      <c r="B137" s="27" t="s">
        <v>265</v>
      </c>
      <c r="C137" s="27" t="s">
        <v>4</v>
      </c>
      <c r="D137" s="27" t="s">
        <v>27</v>
      </c>
      <c r="E137" s="20" t="s">
        <v>28</v>
      </c>
      <c r="F137" s="20">
        <v>185</v>
      </c>
      <c r="G137" s="19">
        <v>38</v>
      </c>
      <c r="H137" s="19">
        <v>7030</v>
      </c>
      <c r="I137" s="19" t="s">
        <v>29</v>
      </c>
      <c r="J137" s="28" t="s">
        <v>30</v>
      </c>
      <c r="K137" s="19" t="s">
        <v>31</v>
      </c>
    </row>
    <row r="138" spans="1:11" x14ac:dyDescent="0.45">
      <c r="A138" s="27" t="s">
        <v>60</v>
      </c>
      <c r="B138" s="27" t="s">
        <v>266</v>
      </c>
      <c r="C138" s="27" t="s">
        <v>4</v>
      </c>
      <c r="D138" s="27" t="s">
        <v>27</v>
      </c>
      <c r="E138" s="20" t="s">
        <v>28</v>
      </c>
      <c r="F138" s="20">
        <v>185</v>
      </c>
      <c r="G138" s="19">
        <v>38</v>
      </c>
      <c r="H138" s="19">
        <v>7030</v>
      </c>
      <c r="I138" s="19" t="s">
        <v>29</v>
      </c>
      <c r="J138" s="28" t="s">
        <v>30</v>
      </c>
      <c r="K138" s="19" t="s">
        <v>31</v>
      </c>
    </row>
    <row r="139" spans="1:11" x14ac:dyDescent="0.45">
      <c r="A139" s="27" t="s">
        <v>245</v>
      </c>
      <c r="B139" s="27" t="s">
        <v>317</v>
      </c>
      <c r="C139" s="27" t="s">
        <v>4</v>
      </c>
      <c r="D139" s="27" t="s">
        <v>78</v>
      </c>
      <c r="E139" s="20" t="s">
        <v>75</v>
      </c>
      <c r="F139" s="20">
        <v>230</v>
      </c>
      <c r="G139" s="19">
        <v>20</v>
      </c>
      <c r="H139" s="19">
        <v>4600</v>
      </c>
      <c r="I139" s="19" t="s">
        <v>207</v>
      </c>
      <c r="J139" s="28" t="s">
        <v>208</v>
      </c>
      <c r="K139" s="19" t="s">
        <v>209</v>
      </c>
    </row>
    <row r="140" spans="1:11" x14ac:dyDescent="0.45">
      <c r="A140" s="27" t="s">
        <v>245</v>
      </c>
      <c r="B140" s="27" t="s">
        <v>318</v>
      </c>
      <c r="C140" s="27" t="s">
        <v>4</v>
      </c>
      <c r="D140" s="27" t="s">
        <v>78</v>
      </c>
      <c r="E140" s="20" t="s">
        <v>75</v>
      </c>
      <c r="F140" s="20">
        <v>230</v>
      </c>
      <c r="G140" s="19">
        <v>21</v>
      </c>
      <c r="H140" s="19">
        <v>4830</v>
      </c>
      <c r="I140" s="19" t="s">
        <v>207</v>
      </c>
      <c r="J140" s="28" t="s">
        <v>208</v>
      </c>
      <c r="K140" s="19" t="s">
        <v>209</v>
      </c>
    </row>
    <row r="141" spans="1:11" x14ac:dyDescent="0.45">
      <c r="A141" s="27" t="s">
        <v>245</v>
      </c>
      <c r="B141" s="27" t="s">
        <v>319</v>
      </c>
      <c r="C141" s="27" t="s">
        <v>4</v>
      </c>
      <c r="D141" s="27" t="s">
        <v>78</v>
      </c>
      <c r="E141" s="20" t="s">
        <v>75</v>
      </c>
      <c r="F141" s="20">
        <v>230</v>
      </c>
      <c r="G141" s="19">
        <v>20</v>
      </c>
      <c r="H141" s="19">
        <v>4600</v>
      </c>
      <c r="I141" s="19" t="s">
        <v>207</v>
      </c>
      <c r="J141" s="28" t="s">
        <v>208</v>
      </c>
      <c r="K141" s="19" t="s">
        <v>209</v>
      </c>
    </row>
    <row r="142" spans="1:11" x14ac:dyDescent="0.45">
      <c r="A142" s="27" t="s">
        <v>245</v>
      </c>
      <c r="B142" s="27" t="s">
        <v>320</v>
      </c>
      <c r="C142" s="27" t="s">
        <v>4</v>
      </c>
      <c r="D142" s="27" t="s">
        <v>78</v>
      </c>
      <c r="E142" s="20" t="s">
        <v>75</v>
      </c>
      <c r="F142" s="20">
        <v>230</v>
      </c>
      <c r="G142" s="19">
        <v>7</v>
      </c>
      <c r="H142" s="19">
        <v>1610</v>
      </c>
      <c r="I142" s="19" t="s">
        <v>207</v>
      </c>
      <c r="J142" s="28" t="s">
        <v>208</v>
      </c>
      <c r="K142" s="19" t="s">
        <v>209</v>
      </c>
    </row>
    <row r="143" spans="1:11" x14ac:dyDescent="0.45">
      <c r="A143" s="27" t="s">
        <v>245</v>
      </c>
      <c r="B143" s="27" t="s">
        <v>321</v>
      </c>
      <c r="C143" s="27" t="s">
        <v>4</v>
      </c>
      <c r="D143" s="27" t="s">
        <v>78</v>
      </c>
      <c r="E143" s="20" t="s">
        <v>75</v>
      </c>
      <c r="F143" s="20">
        <v>230</v>
      </c>
      <c r="G143" s="19">
        <v>10</v>
      </c>
      <c r="H143" s="19">
        <v>2300</v>
      </c>
      <c r="I143" s="19" t="s">
        <v>207</v>
      </c>
      <c r="J143" s="28" t="s">
        <v>208</v>
      </c>
      <c r="K143" s="19" t="s">
        <v>209</v>
      </c>
    </row>
    <row r="144" spans="1:11" x14ac:dyDescent="0.45">
      <c r="A144" s="27" t="s">
        <v>60</v>
      </c>
      <c r="B144" s="27" t="s">
        <v>267</v>
      </c>
      <c r="C144" s="27" t="s">
        <v>4</v>
      </c>
      <c r="D144" s="27" t="s">
        <v>78</v>
      </c>
      <c r="E144" s="20" t="s">
        <v>79</v>
      </c>
      <c r="F144" s="20">
        <v>230</v>
      </c>
      <c r="G144" s="19">
        <v>40</v>
      </c>
      <c r="H144" s="19">
        <v>9200</v>
      </c>
      <c r="I144" s="19" t="s">
        <v>80</v>
      </c>
      <c r="J144" s="28" t="s">
        <v>81</v>
      </c>
      <c r="K144" s="19" t="s">
        <v>82</v>
      </c>
    </row>
    <row r="145" spans="1:11" x14ac:dyDescent="0.45">
      <c r="A145" s="27" t="s">
        <v>60</v>
      </c>
      <c r="B145" s="27" t="s">
        <v>268</v>
      </c>
      <c r="C145" s="27" t="s">
        <v>4</v>
      </c>
      <c r="D145" s="27" t="s">
        <v>78</v>
      </c>
      <c r="E145" s="20" t="s">
        <v>79</v>
      </c>
      <c r="F145" s="20">
        <v>230</v>
      </c>
      <c r="G145" s="19">
        <v>40</v>
      </c>
      <c r="H145" s="19">
        <v>9200</v>
      </c>
      <c r="I145" s="19" t="s">
        <v>80</v>
      </c>
      <c r="J145" s="28" t="s">
        <v>81</v>
      </c>
      <c r="K145" s="19" t="s">
        <v>82</v>
      </c>
    </row>
    <row r="146" spans="1:11" x14ac:dyDescent="0.45">
      <c r="A146" s="27" t="s">
        <v>60</v>
      </c>
      <c r="B146" s="27" t="s">
        <v>269</v>
      </c>
      <c r="C146" s="27" t="s">
        <v>4</v>
      </c>
      <c r="D146" s="27" t="s">
        <v>78</v>
      </c>
      <c r="E146" s="20" t="s">
        <v>79</v>
      </c>
      <c r="F146" s="20">
        <v>230</v>
      </c>
      <c r="G146" s="19">
        <v>40</v>
      </c>
      <c r="H146" s="19">
        <v>9200</v>
      </c>
      <c r="I146" s="19" t="s">
        <v>80</v>
      </c>
      <c r="J146" s="28" t="s">
        <v>81</v>
      </c>
      <c r="K146" s="19" t="s">
        <v>82</v>
      </c>
    </row>
    <row r="147" spans="1:11" x14ac:dyDescent="0.45">
      <c r="A147" s="27" t="s">
        <v>60</v>
      </c>
      <c r="B147" s="27" t="s">
        <v>270</v>
      </c>
      <c r="C147" s="27" t="s">
        <v>4</v>
      </c>
      <c r="D147" s="27" t="s">
        <v>78</v>
      </c>
      <c r="E147" s="20" t="s">
        <v>79</v>
      </c>
      <c r="F147" s="20">
        <v>230</v>
      </c>
      <c r="G147" s="19">
        <v>39</v>
      </c>
      <c r="H147" s="19">
        <v>8970</v>
      </c>
      <c r="I147" s="19" t="s">
        <v>80</v>
      </c>
      <c r="J147" s="28" t="s">
        <v>81</v>
      </c>
      <c r="K147" s="19" t="s">
        <v>82</v>
      </c>
    </row>
    <row r="148" spans="1:11" x14ac:dyDescent="0.45">
      <c r="A148" s="27" t="s">
        <v>60</v>
      </c>
      <c r="B148" s="27" t="s">
        <v>271</v>
      </c>
      <c r="C148" s="27" t="s">
        <v>4</v>
      </c>
      <c r="D148" s="27" t="s">
        <v>78</v>
      </c>
      <c r="E148" s="20" t="s">
        <v>79</v>
      </c>
      <c r="F148" s="20">
        <v>230</v>
      </c>
      <c r="G148" s="19">
        <v>39</v>
      </c>
      <c r="H148" s="19">
        <v>8970</v>
      </c>
      <c r="I148" s="19" t="s">
        <v>80</v>
      </c>
      <c r="J148" s="28" t="s">
        <v>81</v>
      </c>
      <c r="K148" s="19" t="s">
        <v>82</v>
      </c>
    </row>
    <row r="149" spans="1:11" x14ac:dyDescent="0.45">
      <c r="A149" s="27" t="s">
        <v>60</v>
      </c>
      <c r="B149" s="27" t="s">
        <v>272</v>
      </c>
      <c r="C149" s="27" t="s">
        <v>4</v>
      </c>
      <c r="D149" s="27" t="s">
        <v>78</v>
      </c>
      <c r="E149" s="20" t="s">
        <v>79</v>
      </c>
      <c r="F149" s="20">
        <v>230</v>
      </c>
      <c r="G149" s="19">
        <v>39</v>
      </c>
      <c r="H149" s="19">
        <v>8970</v>
      </c>
      <c r="I149" s="19" t="s">
        <v>80</v>
      </c>
      <c r="J149" s="28" t="s">
        <v>81</v>
      </c>
      <c r="K149" s="19" t="s">
        <v>82</v>
      </c>
    </row>
    <row r="150" spans="1:11" x14ac:dyDescent="0.45">
      <c r="A150" s="27" t="s">
        <v>60</v>
      </c>
      <c r="B150" s="27" t="s">
        <v>273</v>
      </c>
      <c r="C150" s="27" t="s">
        <v>4</v>
      </c>
      <c r="D150" s="27" t="s">
        <v>78</v>
      </c>
      <c r="E150" s="20" t="s">
        <v>79</v>
      </c>
      <c r="F150" s="20">
        <v>230</v>
      </c>
      <c r="G150" s="19">
        <v>39</v>
      </c>
      <c r="H150" s="19">
        <v>8970</v>
      </c>
      <c r="I150" s="19" t="s">
        <v>80</v>
      </c>
      <c r="J150" s="28" t="s">
        <v>81</v>
      </c>
      <c r="K150" s="19" t="s">
        <v>82</v>
      </c>
    </row>
    <row r="151" spans="1:11" x14ac:dyDescent="0.45">
      <c r="A151" s="27" t="s">
        <v>60</v>
      </c>
      <c r="B151" s="27" t="s">
        <v>274</v>
      </c>
      <c r="C151" s="27" t="s">
        <v>4</v>
      </c>
      <c r="D151" s="27" t="s">
        <v>78</v>
      </c>
      <c r="E151" s="20" t="s">
        <v>79</v>
      </c>
      <c r="F151" s="20">
        <v>230</v>
      </c>
      <c r="G151" s="19">
        <v>39</v>
      </c>
      <c r="H151" s="19">
        <v>8970</v>
      </c>
      <c r="I151" s="19" t="s">
        <v>80</v>
      </c>
      <c r="J151" s="28" t="s">
        <v>81</v>
      </c>
      <c r="K151" s="19" t="s">
        <v>82</v>
      </c>
    </row>
    <row r="152" spans="1:11" x14ac:dyDescent="0.45">
      <c r="A152" s="27" t="s">
        <v>60</v>
      </c>
      <c r="B152" s="27" t="s">
        <v>275</v>
      </c>
      <c r="C152" s="27" t="s">
        <v>4</v>
      </c>
      <c r="D152" s="27" t="s">
        <v>78</v>
      </c>
      <c r="E152" s="20" t="s">
        <v>79</v>
      </c>
      <c r="F152" s="20">
        <v>230</v>
      </c>
      <c r="G152" s="19">
        <v>38</v>
      </c>
      <c r="H152" s="19">
        <v>8740</v>
      </c>
      <c r="I152" s="19" t="s">
        <v>80</v>
      </c>
      <c r="J152" s="28" t="s">
        <v>81</v>
      </c>
      <c r="K152" s="19" t="s">
        <v>82</v>
      </c>
    </row>
    <row r="153" spans="1:11" x14ac:dyDescent="0.45">
      <c r="A153" s="27" t="s">
        <v>60</v>
      </c>
      <c r="B153" s="27" t="s">
        <v>276</v>
      </c>
      <c r="C153" s="27" t="s">
        <v>4</v>
      </c>
      <c r="D153" s="27" t="s">
        <v>78</v>
      </c>
      <c r="E153" s="20" t="s">
        <v>79</v>
      </c>
      <c r="F153" s="20">
        <v>230</v>
      </c>
      <c r="G153" s="19">
        <v>37</v>
      </c>
      <c r="H153" s="19">
        <v>8510</v>
      </c>
      <c r="I153" s="19" t="s">
        <v>80</v>
      </c>
      <c r="J153" s="28" t="s">
        <v>81</v>
      </c>
      <c r="K153" s="19" t="s">
        <v>82</v>
      </c>
    </row>
    <row r="154" spans="1:11" x14ac:dyDescent="0.45">
      <c r="A154" s="27" t="s">
        <v>60</v>
      </c>
      <c r="B154" s="27" t="s">
        <v>263</v>
      </c>
      <c r="C154" s="27" t="s">
        <v>4</v>
      </c>
      <c r="D154" s="27" t="s">
        <v>41</v>
      </c>
      <c r="E154" s="20" t="s">
        <v>42</v>
      </c>
      <c r="F154" s="20">
        <v>141</v>
      </c>
      <c r="G154" s="19">
        <v>39</v>
      </c>
      <c r="H154" s="19">
        <v>5499</v>
      </c>
      <c r="I154" s="19" t="s">
        <v>43</v>
      </c>
      <c r="J154" s="28" t="s">
        <v>44</v>
      </c>
      <c r="K154" s="19" t="s">
        <v>45</v>
      </c>
    </row>
    <row r="155" spans="1:11" x14ac:dyDescent="0.45">
      <c r="A155" s="27" t="s">
        <v>60</v>
      </c>
      <c r="B155" s="27" t="s">
        <v>264</v>
      </c>
      <c r="C155" s="27" t="s">
        <v>4</v>
      </c>
      <c r="D155" s="27" t="s">
        <v>41</v>
      </c>
      <c r="E155" s="20" t="s">
        <v>42</v>
      </c>
      <c r="F155" s="20">
        <v>141</v>
      </c>
      <c r="G155" s="19">
        <v>39</v>
      </c>
      <c r="H155" s="19">
        <v>5499</v>
      </c>
      <c r="I155" s="19" t="s">
        <v>43</v>
      </c>
      <c r="J155" s="28" t="s">
        <v>44</v>
      </c>
      <c r="K155" s="19" t="s">
        <v>45</v>
      </c>
    </row>
    <row r="156" spans="1:11" x14ac:dyDescent="0.45">
      <c r="A156" s="27" t="s">
        <v>60</v>
      </c>
      <c r="B156" s="27" t="s">
        <v>265</v>
      </c>
      <c r="C156" s="27" t="s">
        <v>4</v>
      </c>
      <c r="D156" s="27" t="s">
        <v>41</v>
      </c>
      <c r="E156" s="20" t="s">
        <v>42</v>
      </c>
      <c r="F156" s="20">
        <v>141</v>
      </c>
      <c r="G156" s="19">
        <v>38</v>
      </c>
      <c r="H156" s="19">
        <v>5358</v>
      </c>
      <c r="I156" s="19" t="s">
        <v>43</v>
      </c>
      <c r="J156" s="28" t="s">
        <v>44</v>
      </c>
      <c r="K156" s="19" t="s">
        <v>45</v>
      </c>
    </row>
    <row r="157" spans="1:11" x14ac:dyDescent="0.45">
      <c r="A157" s="27" t="s">
        <v>60</v>
      </c>
      <c r="B157" s="27" t="s">
        <v>266</v>
      </c>
      <c r="C157" s="27" t="s">
        <v>4</v>
      </c>
      <c r="D157" s="27" t="s">
        <v>41</v>
      </c>
      <c r="E157" s="20" t="s">
        <v>42</v>
      </c>
      <c r="F157" s="20">
        <v>141</v>
      </c>
      <c r="G157" s="19">
        <v>38</v>
      </c>
      <c r="H157" s="19">
        <v>5358</v>
      </c>
      <c r="I157" s="19" t="s">
        <v>43</v>
      </c>
      <c r="J157" s="28" t="s">
        <v>44</v>
      </c>
      <c r="K157" s="19" t="s">
        <v>45</v>
      </c>
    </row>
    <row r="158" spans="1:11" x14ac:dyDescent="0.45">
      <c r="A158" s="27" t="s">
        <v>60</v>
      </c>
      <c r="B158" s="27" t="s">
        <v>267</v>
      </c>
      <c r="C158" s="27" t="s">
        <v>4</v>
      </c>
      <c r="D158" s="27" t="s">
        <v>41</v>
      </c>
      <c r="E158" s="20" t="s">
        <v>42</v>
      </c>
      <c r="F158" s="20">
        <v>141</v>
      </c>
      <c r="G158" s="19">
        <v>40</v>
      </c>
      <c r="H158" s="19">
        <v>5640</v>
      </c>
      <c r="I158" s="19" t="s">
        <v>43</v>
      </c>
      <c r="J158" s="28" t="s">
        <v>44</v>
      </c>
      <c r="K158" s="19" t="s">
        <v>45</v>
      </c>
    </row>
    <row r="159" spans="1:11" x14ac:dyDescent="0.45">
      <c r="A159" s="27" t="s">
        <v>60</v>
      </c>
      <c r="B159" s="27" t="s">
        <v>268</v>
      </c>
      <c r="C159" s="27" t="s">
        <v>4</v>
      </c>
      <c r="D159" s="27" t="s">
        <v>41</v>
      </c>
      <c r="E159" s="20" t="s">
        <v>42</v>
      </c>
      <c r="F159" s="20">
        <v>141</v>
      </c>
      <c r="G159" s="19">
        <v>40</v>
      </c>
      <c r="H159" s="19">
        <v>5640</v>
      </c>
      <c r="I159" s="19" t="s">
        <v>43</v>
      </c>
      <c r="J159" s="28" t="s">
        <v>44</v>
      </c>
      <c r="K159" s="19" t="s">
        <v>45</v>
      </c>
    </row>
    <row r="160" spans="1:11" x14ac:dyDescent="0.45">
      <c r="A160" s="27" t="s">
        <v>60</v>
      </c>
      <c r="B160" s="27" t="s">
        <v>269</v>
      </c>
      <c r="C160" s="27" t="s">
        <v>4</v>
      </c>
      <c r="D160" s="27" t="s">
        <v>41</v>
      </c>
      <c r="E160" s="20" t="s">
        <v>42</v>
      </c>
      <c r="F160" s="20">
        <v>141</v>
      </c>
      <c r="G160" s="19">
        <v>40</v>
      </c>
      <c r="H160" s="19">
        <v>5640</v>
      </c>
      <c r="I160" s="19" t="s">
        <v>43</v>
      </c>
      <c r="J160" s="28" t="s">
        <v>44</v>
      </c>
      <c r="K160" s="19" t="s">
        <v>45</v>
      </c>
    </row>
    <row r="161" spans="1:11" x14ac:dyDescent="0.45">
      <c r="A161" s="27" t="s">
        <v>60</v>
      </c>
      <c r="B161" s="27" t="s">
        <v>270</v>
      </c>
      <c r="C161" s="27" t="s">
        <v>4</v>
      </c>
      <c r="D161" s="27" t="s">
        <v>41</v>
      </c>
      <c r="E161" s="20" t="s">
        <v>42</v>
      </c>
      <c r="F161" s="20">
        <v>141</v>
      </c>
      <c r="G161" s="19">
        <v>39</v>
      </c>
      <c r="H161" s="19">
        <v>5499</v>
      </c>
      <c r="I161" s="19" t="s">
        <v>43</v>
      </c>
      <c r="J161" s="28" t="s">
        <v>44</v>
      </c>
      <c r="K161" s="19" t="s">
        <v>45</v>
      </c>
    </row>
    <row r="162" spans="1:11" x14ac:dyDescent="0.45">
      <c r="A162" s="27" t="s">
        <v>60</v>
      </c>
      <c r="B162" s="27" t="s">
        <v>271</v>
      </c>
      <c r="C162" s="27" t="s">
        <v>4</v>
      </c>
      <c r="D162" s="27" t="s">
        <v>41</v>
      </c>
      <c r="E162" s="20" t="s">
        <v>42</v>
      </c>
      <c r="F162" s="20">
        <v>141</v>
      </c>
      <c r="G162" s="19">
        <v>39</v>
      </c>
      <c r="H162" s="19">
        <v>5499</v>
      </c>
      <c r="I162" s="19" t="s">
        <v>43</v>
      </c>
      <c r="J162" s="28" t="s">
        <v>44</v>
      </c>
      <c r="K162" s="19" t="s">
        <v>45</v>
      </c>
    </row>
    <row r="163" spans="1:11" x14ac:dyDescent="0.45">
      <c r="A163" s="27" t="s">
        <v>60</v>
      </c>
      <c r="B163" s="27" t="s">
        <v>272</v>
      </c>
      <c r="C163" s="27" t="s">
        <v>4</v>
      </c>
      <c r="D163" s="27" t="s">
        <v>41</v>
      </c>
      <c r="E163" s="20" t="s">
        <v>42</v>
      </c>
      <c r="F163" s="20">
        <v>141</v>
      </c>
      <c r="G163" s="19">
        <v>39</v>
      </c>
      <c r="H163" s="19">
        <v>5499</v>
      </c>
      <c r="I163" s="19" t="s">
        <v>43</v>
      </c>
      <c r="J163" s="28" t="s">
        <v>44</v>
      </c>
      <c r="K163" s="19" t="s">
        <v>45</v>
      </c>
    </row>
    <row r="164" spans="1:11" x14ac:dyDescent="0.45">
      <c r="A164" s="27" t="s">
        <v>60</v>
      </c>
      <c r="B164" s="27" t="s">
        <v>273</v>
      </c>
      <c r="C164" s="27" t="s">
        <v>4</v>
      </c>
      <c r="D164" s="27" t="s">
        <v>41</v>
      </c>
      <c r="E164" s="20" t="s">
        <v>42</v>
      </c>
      <c r="F164" s="20">
        <v>141</v>
      </c>
      <c r="G164" s="19">
        <v>39</v>
      </c>
      <c r="H164" s="19">
        <v>5499</v>
      </c>
      <c r="I164" s="19" t="s">
        <v>43</v>
      </c>
      <c r="J164" s="28" t="s">
        <v>44</v>
      </c>
      <c r="K164" s="19" t="s">
        <v>45</v>
      </c>
    </row>
    <row r="165" spans="1:11" x14ac:dyDescent="0.45">
      <c r="A165" s="27" t="s">
        <v>60</v>
      </c>
      <c r="B165" s="27" t="s">
        <v>274</v>
      </c>
      <c r="C165" s="27" t="s">
        <v>4</v>
      </c>
      <c r="D165" s="27" t="s">
        <v>41</v>
      </c>
      <c r="E165" s="20" t="s">
        <v>42</v>
      </c>
      <c r="F165" s="20">
        <v>141</v>
      </c>
      <c r="G165" s="19">
        <v>39</v>
      </c>
      <c r="H165" s="19">
        <v>5499</v>
      </c>
      <c r="I165" s="19" t="s">
        <v>43</v>
      </c>
      <c r="J165" s="28" t="s">
        <v>44</v>
      </c>
      <c r="K165" s="19" t="s">
        <v>45</v>
      </c>
    </row>
    <row r="166" spans="1:11" x14ac:dyDescent="0.45">
      <c r="A166" s="27" t="s">
        <v>60</v>
      </c>
      <c r="B166" s="27" t="s">
        <v>275</v>
      </c>
      <c r="C166" s="27" t="s">
        <v>4</v>
      </c>
      <c r="D166" s="27" t="s">
        <v>41</v>
      </c>
      <c r="E166" s="20" t="s">
        <v>42</v>
      </c>
      <c r="F166" s="20">
        <v>141</v>
      </c>
      <c r="G166" s="19">
        <v>38</v>
      </c>
      <c r="H166" s="19">
        <v>5358</v>
      </c>
      <c r="I166" s="19" t="s">
        <v>43</v>
      </c>
      <c r="J166" s="28" t="s">
        <v>44</v>
      </c>
      <c r="K166" s="19" t="s">
        <v>45</v>
      </c>
    </row>
    <row r="167" spans="1:11" x14ac:dyDescent="0.45">
      <c r="A167" s="27" t="s">
        <v>60</v>
      </c>
      <c r="B167" s="27" t="s">
        <v>276</v>
      </c>
      <c r="C167" s="27" t="s">
        <v>4</v>
      </c>
      <c r="D167" s="27" t="s">
        <v>41</v>
      </c>
      <c r="E167" s="20" t="s">
        <v>42</v>
      </c>
      <c r="F167" s="20">
        <v>141</v>
      </c>
      <c r="G167" s="19">
        <v>37</v>
      </c>
      <c r="H167" s="19">
        <v>5217</v>
      </c>
      <c r="I167" s="19" t="s">
        <v>43</v>
      </c>
      <c r="J167" s="28" t="s">
        <v>44</v>
      </c>
      <c r="K167" s="19" t="s">
        <v>45</v>
      </c>
    </row>
    <row r="168" spans="1:11" x14ac:dyDescent="0.45">
      <c r="A168" s="27" t="s">
        <v>60</v>
      </c>
      <c r="B168" s="27" t="s">
        <v>277</v>
      </c>
      <c r="C168" s="27" t="s">
        <v>4</v>
      </c>
      <c r="D168" s="27" t="s">
        <v>41</v>
      </c>
      <c r="E168" s="20" t="s">
        <v>42</v>
      </c>
      <c r="F168" s="20">
        <v>141</v>
      </c>
      <c r="G168" s="19">
        <v>39</v>
      </c>
      <c r="H168" s="19">
        <v>5499</v>
      </c>
      <c r="I168" s="19" t="s">
        <v>43</v>
      </c>
      <c r="J168" s="28" t="s">
        <v>44</v>
      </c>
      <c r="K168" s="19" t="s">
        <v>45</v>
      </c>
    </row>
    <row r="169" spans="1:11" x14ac:dyDescent="0.45">
      <c r="A169" s="27" t="s">
        <v>60</v>
      </c>
      <c r="B169" s="27" t="s">
        <v>278</v>
      </c>
      <c r="C169" s="27" t="s">
        <v>4</v>
      </c>
      <c r="D169" s="27" t="s">
        <v>41</v>
      </c>
      <c r="E169" s="20" t="s">
        <v>42</v>
      </c>
      <c r="F169" s="20">
        <v>141</v>
      </c>
      <c r="G169" s="19">
        <v>38</v>
      </c>
      <c r="H169" s="19">
        <v>5358</v>
      </c>
      <c r="I169" s="19" t="s">
        <v>43</v>
      </c>
      <c r="J169" s="28" t="s">
        <v>44</v>
      </c>
      <c r="K169" s="19" t="s">
        <v>45</v>
      </c>
    </row>
    <row r="170" spans="1:11" x14ac:dyDescent="0.45">
      <c r="A170" s="27" t="s">
        <v>60</v>
      </c>
      <c r="B170" s="27" t="s">
        <v>279</v>
      </c>
      <c r="C170" s="27" t="s">
        <v>4</v>
      </c>
      <c r="D170" s="27" t="s">
        <v>41</v>
      </c>
      <c r="E170" s="20" t="s">
        <v>42</v>
      </c>
      <c r="F170" s="20">
        <v>141</v>
      </c>
      <c r="G170" s="19">
        <v>39</v>
      </c>
      <c r="H170" s="19">
        <v>5499</v>
      </c>
      <c r="I170" s="19" t="s">
        <v>43</v>
      </c>
      <c r="J170" s="28" t="s">
        <v>44</v>
      </c>
      <c r="K170" s="19" t="s">
        <v>45</v>
      </c>
    </row>
    <row r="171" spans="1:11" x14ac:dyDescent="0.45">
      <c r="A171" s="27" t="s">
        <v>60</v>
      </c>
      <c r="B171" s="27" t="s">
        <v>280</v>
      </c>
      <c r="C171" s="27" t="s">
        <v>4</v>
      </c>
      <c r="D171" s="27" t="s">
        <v>41</v>
      </c>
      <c r="E171" s="20" t="s">
        <v>42</v>
      </c>
      <c r="F171" s="20">
        <v>141</v>
      </c>
      <c r="G171" s="19">
        <v>39</v>
      </c>
      <c r="H171" s="19">
        <v>5499</v>
      </c>
      <c r="I171" s="19" t="s">
        <v>43</v>
      </c>
      <c r="J171" s="28" t="s">
        <v>44</v>
      </c>
      <c r="K171" s="19" t="s">
        <v>45</v>
      </c>
    </row>
    <row r="172" spans="1:11" x14ac:dyDescent="0.45">
      <c r="A172" s="27" t="s">
        <v>60</v>
      </c>
      <c r="B172" s="27" t="s">
        <v>267</v>
      </c>
      <c r="C172" s="27" t="s">
        <v>4</v>
      </c>
      <c r="D172" s="27" t="s">
        <v>93</v>
      </c>
      <c r="E172" s="20" t="s">
        <v>94</v>
      </c>
      <c r="F172" s="20">
        <v>278</v>
      </c>
      <c r="G172" s="19">
        <v>40</v>
      </c>
      <c r="H172" s="19">
        <v>11120</v>
      </c>
      <c r="I172" s="19" t="s">
        <v>95</v>
      </c>
      <c r="J172" s="28" t="s">
        <v>96</v>
      </c>
      <c r="K172" s="19" t="s">
        <v>97</v>
      </c>
    </row>
    <row r="173" spans="1:11" x14ac:dyDescent="0.45">
      <c r="A173" s="27" t="s">
        <v>60</v>
      </c>
      <c r="B173" s="27" t="s">
        <v>268</v>
      </c>
      <c r="C173" s="27" t="s">
        <v>4</v>
      </c>
      <c r="D173" s="27" t="s">
        <v>93</v>
      </c>
      <c r="E173" s="20" t="s">
        <v>94</v>
      </c>
      <c r="F173" s="20">
        <v>278</v>
      </c>
      <c r="G173" s="19">
        <v>40</v>
      </c>
      <c r="H173" s="19">
        <v>11120</v>
      </c>
      <c r="I173" s="19" t="s">
        <v>95</v>
      </c>
      <c r="J173" s="28" t="s">
        <v>96</v>
      </c>
      <c r="K173" s="19" t="s">
        <v>97</v>
      </c>
    </row>
    <row r="174" spans="1:11" x14ac:dyDescent="0.45">
      <c r="A174" s="27" t="s">
        <v>60</v>
      </c>
      <c r="B174" s="27" t="s">
        <v>269</v>
      </c>
      <c r="C174" s="27" t="s">
        <v>4</v>
      </c>
      <c r="D174" s="27" t="s">
        <v>93</v>
      </c>
      <c r="E174" s="20" t="s">
        <v>94</v>
      </c>
      <c r="F174" s="20">
        <v>278</v>
      </c>
      <c r="G174" s="19">
        <v>40</v>
      </c>
      <c r="H174" s="19">
        <v>11120</v>
      </c>
      <c r="I174" s="19" t="s">
        <v>95</v>
      </c>
      <c r="J174" s="28" t="s">
        <v>96</v>
      </c>
      <c r="K174" s="19" t="s">
        <v>97</v>
      </c>
    </row>
    <row r="175" spans="1:11" x14ac:dyDescent="0.45">
      <c r="A175" s="27" t="s">
        <v>60</v>
      </c>
      <c r="B175" s="27" t="s">
        <v>270</v>
      </c>
      <c r="C175" s="27" t="s">
        <v>4</v>
      </c>
      <c r="D175" s="27" t="s">
        <v>93</v>
      </c>
      <c r="E175" s="20" t="s">
        <v>94</v>
      </c>
      <c r="F175" s="20">
        <v>278</v>
      </c>
      <c r="G175" s="19">
        <v>39</v>
      </c>
      <c r="H175" s="19">
        <v>10842</v>
      </c>
      <c r="I175" s="19" t="s">
        <v>95</v>
      </c>
      <c r="J175" s="28" t="s">
        <v>96</v>
      </c>
      <c r="K175" s="19" t="s">
        <v>97</v>
      </c>
    </row>
    <row r="176" spans="1:11" x14ac:dyDescent="0.45">
      <c r="A176" s="27" t="s">
        <v>60</v>
      </c>
      <c r="B176" s="27" t="s">
        <v>271</v>
      </c>
      <c r="C176" s="27" t="s">
        <v>4</v>
      </c>
      <c r="D176" s="27" t="s">
        <v>93</v>
      </c>
      <c r="E176" s="20" t="s">
        <v>94</v>
      </c>
      <c r="F176" s="20">
        <v>278</v>
      </c>
      <c r="G176" s="19">
        <v>39</v>
      </c>
      <c r="H176" s="19">
        <v>10842</v>
      </c>
      <c r="I176" s="19" t="s">
        <v>95</v>
      </c>
      <c r="J176" s="28" t="s">
        <v>96</v>
      </c>
      <c r="K176" s="19" t="s">
        <v>97</v>
      </c>
    </row>
    <row r="177" spans="1:11" x14ac:dyDescent="0.45">
      <c r="A177" s="27" t="s">
        <v>60</v>
      </c>
      <c r="B177" s="27" t="s">
        <v>272</v>
      </c>
      <c r="C177" s="27" t="s">
        <v>4</v>
      </c>
      <c r="D177" s="27" t="s">
        <v>93</v>
      </c>
      <c r="E177" s="20" t="s">
        <v>94</v>
      </c>
      <c r="F177" s="20">
        <v>278</v>
      </c>
      <c r="G177" s="19">
        <v>39</v>
      </c>
      <c r="H177" s="19">
        <v>10842</v>
      </c>
      <c r="I177" s="19" t="s">
        <v>95</v>
      </c>
      <c r="J177" s="28" t="s">
        <v>96</v>
      </c>
      <c r="K177" s="19" t="s">
        <v>97</v>
      </c>
    </row>
    <row r="178" spans="1:11" x14ac:dyDescent="0.45">
      <c r="A178" s="27" t="s">
        <v>60</v>
      </c>
      <c r="B178" s="27" t="s">
        <v>273</v>
      </c>
      <c r="C178" s="27" t="s">
        <v>4</v>
      </c>
      <c r="D178" s="27" t="s">
        <v>93</v>
      </c>
      <c r="E178" s="20" t="s">
        <v>94</v>
      </c>
      <c r="F178" s="20">
        <v>278</v>
      </c>
      <c r="G178" s="19">
        <v>39</v>
      </c>
      <c r="H178" s="19">
        <v>10842</v>
      </c>
      <c r="I178" s="19" t="s">
        <v>95</v>
      </c>
      <c r="J178" s="28" t="s">
        <v>96</v>
      </c>
      <c r="K178" s="19" t="s">
        <v>97</v>
      </c>
    </row>
    <row r="179" spans="1:11" x14ac:dyDescent="0.45">
      <c r="A179" s="27" t="s">
        <v>60</v>
      </c>
      <c r="B179" s="27" t="s">
        <v>274</v>
      </c>
      <c r="C179" s="27" t="s">
        <v>4</v>
      </c>
      <c r="D179" s="27" t="s">
        <v>93</v>
      </c>
      <c r="E179" s="20" t="s">
        <v>94</v>
      </c>
      <c r="F179" s="20">
        <v>278</v>
      </c>
      <c r="G179" s="19">
        <v>39</v>
      </c>
      <c r="H179" s="19">
        <v>10842</v>
      </c>
      <c r="I179" s="19" t="s">
        <v>95</v>
      </c>
      <c r="J179" s="28" t="s">
        <v>96</v>
      </c>
      <c r="K179" s="19" t="s">
        <v>97</v>
      </c>
    </row>
    <row r="180" spans="1:11" x14ac:dyDescent="0.45">
      <c r="A180" s="27" t="s">
        <v>60</v>
      </c>
      <c r="B180" s="27" t="s">
        <v>275</v>
      </c>
      <c r="C180" s="27" t="s">
        <v>4</v>
      </c>
      <c r="D180" s="27" t="s">
        <v>93</v>
      </c>
      <c r="E180" s="20" t="s">
        <v>94</v>
      </c>
      <c r="F180" s="20">
        <v>278</v>
      </c>
      <c r="G180" s="19">
        <v>38</v>
      </c>
      <c r="H180" s="19">
        <v>10564</v>
      </c>
      <c r="I180" s="19" t="s">
        <v>95</v>
      </c>
      <c r="J180" s="28" t="s">
        <v>96</v>
      </c>
      <c r="K180" s="19" t="s">
        <v>97</v>
      </c>
    </row>
    <row r="181" spans="1:11" x14ac:dyDescent="0.45">
      <c r="A181" s="27" t="s">
        <v>60</v>
      </c>
      <c r="B181" s="27" t="s">
        <v>276</v>
      </c>
      <c r="C181" s="27" t="s">
        <v>4</v>
      </c>
      <c r="D181" s="27" t="s">
        <v>93</v>
      </c>
      <c r="E181" s="20" t="s">
        <v>94</v>
      </c>
      <c r="F181" s="20">
        <v>278</v>
      </c>
      <c r="G181" s="19">
        <v>37</v>
      </c>
      <c r="H181" s="19">
        <v>10286</v>
      </c>
      <c r="I181" s="19" t="s">
        <v>95</v>
      </c>
      <c r="J181" s="28" t="s">
        <v>96</v>
      </c>
      <c r="K181" s="19" t="s">
        <v>97</v>
      </c>
    </row>
    <row r="182" spans="1:11" x14ac:dyDescent="0.45">
      <c r="A182" s="27" t="s">
        <v>60</v>
      </c>
      <c r="B182" s="27" t="s">
        <v>279</v>
      </c>
      <c r="C182" s="27" t="s">
        <v>4</v>
      </c>
      <c r="D182" s="27" t="s">
        <v>93</v>
      </c>
      <c r="E182" s="20" t="s">
        <v>94</v>
      </c>
      <c r="F182" s="20">
        <v>278</v>
      </c>
      <c r="G182" s="19">
        <v>39</v>
      </c>
      <c r="H182" s="19">
        <v>10842</v>
      </c>
      <c r="I182" s="19" t="s">
        <v>95</v>
      </c>
      <c r="J182" s="28" t="s">
        <v>96</v>
      </c>
      <c r="K182" s="19" t="s">
        <v>97</v>
      </c>
    </row>
    <row r="183" spans="1:11" x14ac:dyDescent="0.45">
      <c r="A183" s="27" t="s">
        <v>60</v>
      </c>
      <c r="B183" s="27" t="s">
        <v>280</v>
      </c>
      <c r="C183" s="27" t="s">
        <v>4</v>
      </c>
      <c r="D183" s="27" t="s">
        <v>93</v>
      </c>
      <c r="E183" s="20" t="s">
        <v>94</v>
      </c>
      <c r="F183" s="20">
        <v>278</v>
      </c>
      <c r="G183" s="19">
        <v>39</v>
      </c>
      <c r="H183" s="19">
        <v>10842</v>
      </c>
      <c r="I183" s="19" t="s">
        <v>95</v>
      </c>
      <c r="J183" s="28" t="s">
        <v>96</v>
      </c>
      <c r="K183" s="19" t="s">
        <v>97</v>
      </c>
    </row>
    <row r="184" spans="1:11" x14ac:dyDescent="0.45">
      <c r="A184" s="27" t="s">
        <v>245</v>
      </c>
      <c r="B184" s="27" t="s">
        <v>317</v>
      </c>
      <c r="C184" s="27" t="s">
        <v>4</v>
      </c>
      <c r="D184" s="27" t="s">
        <v>93</v>
      </c>
      <c r="E184" s="20" t="s">
        <v>94</v>
      </c>
      <c r="F184" s="20">
        <v>278</v>
      </c>
      <c r="G184" s="19">
        <v>20</v>
      </c>
      <c r="H184" s="19">
        <v>5560</v>
      </c>
      <c r="I184" s="19" t="s">
        <v>95</v>
      </c>
      <c r="J184" s="28" t="s">
        <v>96</v>
      </c>
      <c r="K184" s="19" t="s">
        <v>97</v>
      </c>
    </row>
    <row r="185" spans="1:11" x14ac:dyDescent="0.45">
      <c r="A185" s="27" t="s">
        <v>245</v>
      </c>
      <c r="B185" s="27" t="s">
        <v>318</v>
      </c>
      <c r="C185" s="27" t="s">
        <v>4</v>
      </c>
      <c r="D185" s="27" t="s">
        <v>93</v>
      </c>
      <c r="E185" s="20" t="s">
        <v>94</v>
      </c>
      <c r="F185" s="20">
        <v>278</v>
      </c>
      <c r="G185" s="19">
        <v>21</v>
      </c>
      <c r="H185" s="19">
        <v>5838</v>
      </c>
      <c r="I185" s="19" t="s">
        <v>95</v>
      </c>
      <c r="J185" s="28" t="s">
        <v>96</v>
      </c>
      <c r="K185" s="19" t="s">
        <v>97</v>
      </c>
    </row>
    <row r="186" spans="1:11" x14ac:dyDescent="0.45">
      <c r="A186" s="27" t="s">
        <v>245</v>
      </c>
      <c r="B186" s="27" t="s">
        <v>319</v>
      </c>
      <c r="C186" s="27" t="s">
        <v>4</v>
      </c>
      <c r="D186" s="27" t="s">
        <v>93</v>
      </c>
      <c r="E186" s="20" t="s">
        <v>94</v>
      </c>
      <c r="F186" s="20">
        <v>278</v>
      </c>
      <c r="G186" s="19">
        <v>20</v>
      </c>
      <c r="H186" s="19">
        <v>5560</v>
      </c>
      <c r="I186" s="19" t="s">
        <v>95</v>
      </c>
      <c r="J186" s="28" t="s">
        <v>96</v>
      </c>
      <c r="K186" s="19" t="s">
        <v>97</v>
      </c>
    </row>
    <row r="187" spans="1:11" x14ac:dyDescent="0.45">
      <c r="A187" s="27" t="s">
        <v>245</v>
      </c>
      <c r="B187" s="27" t="s">
        <v>320</v>
      </c>
      <c r="C187" s="27" t="s">
        <v>4</v>
      </c>
      <c r="D187" s="27" t="s">
        <v>93</v>
      </c>
      <c r="E187" s="20" t="s">
        <v>94</v>
      </c>
      <c r="F187" s="20">
        <v>278</v>
      </c>
      <c r="G187" s="19">
        <v>7</v>
      </c>
      <c r="H187" s="19">
        <v>1946</v>
      </c>
      <c r="I187" s="19" t="s">
        <v>95</v>
      </c>
      <c r="J187" s="28" t="s">
        <v>96</v>
      </c>
      <c r="K187" s="19" t="s">
        <v>97</v>
      </c>
    </row>
    <row r="188" spans="1:11" x14ac:dyDescent="0.45">
      <c r="A188" s="27" t="s">
        <v>245</v>
      </c>
      <c r="B188" s="27" t="s">
        <v>321</v>
      </c>
      <c r="C188" s="27" t="s">
        <v>4</v>
      </c>
      <c r="D188" s="27" t="s">
        <v>93</v>
      </c>
      <c r="E188" s="20" t="s">
        <v>94</v>
      </c>
      <c r="F188" s="20">
        <v>278</v>
      </c>
      <c r="G188" s="19">
        <v>10</v>
      </c>
      <c r="H188" s="19">
        <v>2780</v>
      </c>
      <c r="I188" s="19" t="s">
        <v>95</v>
      </c>
      <c r="J188" s="28" t="s">
        <v>96</v>
      </c>
      <c r="K188" s="19" t="s">
        <v>97</v>
      </c>
    </row>
    <row r="189" spans="1:11" x14ac:dyDescent="0.45">
      <c r="A189" s="27" t="s">
        <v>60</v>
      </c>
      <c r="B189" s="27" t="s">
        <v>263</v>
      </c>
      <c r="C189" s="27" t="s">
        <v>4</v>
      </c>
      <c r="D189" s="27" t="s">
        <v>5</v>
      </c>
      <c r="E189" s="20" t="s">
        <v>19</v>
      </c>
      <c r="F189" s="20">
        <v>206</v>
      </c>
      <c r="G189" s="19">
        <v>39</v>
      </c>
      <c r="H189" s="19">
        <v>8034</v>
      </c>
      <c r="I189" s="19" t="s">
        <v>20</v>
      </c>
      <c r="J189" s="28" t="s">
        <v>21</v>
      </c>
      <c r="K189" s="19" t="s">
        <v>22</v>
      </c>
    </row>
    <row r="190" spans="1:11" x14ac:dyDescent="0.45">
      <c r="A190" s="27" t="s">
        <v>60</v>
      </c>
      <c r="B190" s="27" t="s">
        <v>264</v>
      </c>
      <c r="C190" s="27" t="s">
        <v>4</v>
      </c>
      <c r="D190" s="27" t="s">
        <v>5</v>
      </c>
      <c r="E190" s="20" t="s">
        <v>19</v>
      </c>
      <c r="F190" s="20">
        <v>206</v>
      </c>
      <c r="G190" s="19">
        <v>39</v>
      </c>
      <c r="H190" s="19">
        <v>8034</v>
      </c>
      <c r="I190" s="19" t="s">
        <v>20</v>
      </c>
      <c r="J190" s="28" t="s">
        <v>21</v>
      </c>
      <c r="K190" s="19" t="s">
        <v>22</v>
      </c>
    </row>
    <row r="191" spans="1:11" x14ac:dyDescent="0.45">
      <c r="A191" s="27" t="s">
        <v>60</v>
      </c>
      <c r="B191" s="27" t="s">
        <v>265</v>
      </c>
      <c r="C191" s="27" t="s">
        <v>4</v>
      </c>
      <c r="D191" s="27" t="s">
        <v>5</v>
      </c>
      <c r="E191" s="20" t="s">
        <v>19</v>
      </c>
      <c r="F191" s="20">
        <v>206</v>
      </c>
      <c r="G191" s="19">
        <v>38</v>
      </c>
      <c r="H191" s="19">
        <v>7828</v>
      </c>
      <c r="I191" s="19" t="s">
        <v>20</v>
      </c>
      <c r="J191" s="28" t="s">
        <v>21</v>
      </c>
      <c r="K191" s="19" t="s">
        <v>22</v>
      </c>
    </row>
    <row r="192" spans="1:11" x14ac:dyDescent="0.45">
      <c r="A192" s="27" t="s">
        <v>60</v>
      </c>
      <c r="B192" s="27" t="s">
        <v>266</v>
      </c>
      <c r="C192" s="27" t="s">
        <v>4</v>
      </c>
      <c r="D192" s="27" t="s">
        <v>5</v>
      </c>
      <c r="E192" s="20" t="s">
        <v>19</v>
      </c>
      <c r="F192" s="20">
        <v>206</v>
      </c>
      <c r="G192" s="19">
        <v>38</v>
      </c>
      <c r="H192" s="19">
        <v>7828</v>
      </c>
      <c r="I192" s="19" t="s">
        <v>20</v>
      </c>
      <c r="J192" s="28" t="s">
        <v>21</v>
      </c>
      <c r="K192" s="19" t="s">
        <v>22</v>
      </c>
    </row>
    <row r="193" spans="1:11" x14ac:dyDescent="0.45">
      <c r="A193" s="27" t="s">
        <v>60</v>
      </c>
      <c r="B193" s="27" t="s">
        <v>263</v>
      </c>
      <c r="C193" s="27" t="s">
        <v>4</v>
      </c>
      <c r="D193" s="27" t="s">
        <v>5</v>
      </c>
      <c r="E193" s="20" t="s">
        <v>15</v>
      </c>
      <c r="F193" s="20">
        <v>215</v>
      </c>
      <c r="G193" s="19">
        <v>39</v>
      </c>
      <c r="H193" s="19">
        <v>8385</v>
      </c>
      <c r="I193" s="19" t="s">
        <v>16</v>
      </c>
      <c r="J193" s="28" t="s">
        <v>17</v>
      </c>
      <c r="K193" s="19" t="s">
        <v>18</v>
      </c>
    </row>
    <row r="194" spans="1:11" x14ac:dyDescent="0.45">
      <c r="A194" s="27" t="s">
        <v>60</v>
      </c>
      <c r="B194" s="27" t="s">
        <v>264</v>
      </c>
      <c r="C194" s="27" t="s">
        <v>4</v>
      </c>
      <c r="D194" s="27" t="s">
        <v>5</v>
      </c>
      <c r="E194" s="20" t="s">
        <v>15</v>
      </c>
      <c r="F194" s="20">
        <v>215</v>
      </c>
      <c r="G194" s="19">
        <v>39</v>
      </c>
      <c r="H194" s="19">
        <v>8385</v>
      </c>
      <c r="I194" s="19" t="s">
        <v>16</v>
      </c>
      <c r="J194" s="28" t="s">
        <v>17</v>
      </c>
      <c r="K194" s="19" t="s">
        <v>18</v>
      </c>
    </row>
    <row r="195" spans="1:11" x14ac:dyDescent="0.45">
      <c r="A195" s="27" t="s">
        <v>60</v>
      </c>
      <c r="B195" s="27" t="s">
        <v>265</v>
      </c>
      <c r="C195" s="27" t="s">
        <v>4</v>
      </c>
      <c r="D195" s="27" t="s">
        <v>5</v>
      </c>
      <c r="E195" s="20" t="s">
        <v>15</v>
      </c>
      <c r="F195" s="20">
        <v>215</v>
      </c>
      <c r="G195" s="19">
        <v>38</v>
      </c>
      <c r="H195" s="19">
        <v>8170</v>
      </c>
      <c r="I195" s="19" t="s">
        <v>16</v>
      </c>
      <c r="J195" s="28" t="s">
        <v>17</v>
      </c>
      <c r="K195" s="19" t="s">
        <v>18</v>
      </c>
    </row>
    <row r="196" spans="1:11" x14ac:dyDescent="0.45">
      <c r="A196" s="27" t="s">
        <v>60</v>
      </c>
      <c r="B196" s="27" t="s">
        <v>266</v>
      </c>
      <c r="C196" s="27" t="s">
        <v>4</v>
      </c>
      <c r="D196" s="27" t="s">
        <v>5</v>
      </c>
      <c r="E196" s="20" t="s">
        <v>15</v>
      </c>
      <c r="F196" s="20">
        <v>215</v>
      </c>
      <c r="G196" s="19">
        <v>38</v>
      </c>
      <c r="H196" s="19">
        <v>8170</v>
      </c>
      <c r="I196" s="19" t="s">
        <v>16</v>
      </c>
      <c r="J196" s="28" t="s">
        <v>17</v>
      </c>
      <c r="K196" s="19" t="s">
        <v>18</v>
      </c>
    </row>
    <row r="197" spans="1:11" x14ac:dyDescent="0.45">
      <c r="A197" s="27" t="s">
        <v>60</v>
      </c>
      <c r="B197" s="27" t="s">
        <v>263</v>
      </c>
      <c r="C197" s="27" t="s">
        <v>4</v>
      </c>
      <c r="D197" s="27" t="s">
        <v>5</v>
      </c>
      <c r="E197" s="20" t="s">
        <v>6</v>
      </c>
      <c r="F197" s="20">
        <v>195</v>
      </c>
      <c r="G197" s="19">
        <v>39</v>
      </c>
      <c r="H197" s="19">
        <v>7605</v>
      </c>
      <c r="I197" s="19" t="s">
        <v>7</v>
      </c>
      <c r="J197" s="28" t="s">
        <v>8</v>
      </c>
      <c r="K197" s="19" t="s">
        <v>9</v>
      </c>
    </row>
    <row r="198" spans="1:11" x14ac:dyDescent="0.45">
      <c r="A198" s="27" t="s">
        <v>60</v>
      </c>
      <c r="B198" s="27" t="s">
        <v>264</v>
      </c>
      <c r="C198" s="27" t="s">
        <v>4</v>
      </c>
      <c r="D198" s="27" t="s">
        <v>5</v>
      </c>
      <c r="E198" s="20" t="s">
        <v>6</v>
      </c>
      <c r="F198" s="20">
        <v>195</v>
      </c>
      <c r="G198" s="19">
        <v>39</v>
      </c>
      <c r="H198" s="19">
        <v>7605</v>
      </c>
      <c r="I198" s="19" t="s">
        <v>7</v>
      </c>
      <c r="J198" s="28" t="s">
        <v>8</v>
      </c>
      <c r="K198" s="19" t="s">
        <v>9</v>
      </c>
    </row>
    <row r="199" spans="1:11" x14ac:dyDescent="0.45">
      <c r="A199" s="27" t="s">
        <v>60</v>
      </c>
      <c r="B199" s="27" t="s">
        <v>265</v>
      </c>
      <c r="C199" s="27" t="s">
        <v>4</v>
      </c>
      <c r="D199" s="27" t="s">
        <v>5</v>
      </c>
      <c r="E199" s="20" t="s">
        <v>6</v>
      </c>
      <c r="F199" s="20">
        <v>195</v>
      </c>
      <c r="G199" s="19">
        <v>38</v>
      </c>
      <c r="H199" s="19">
        <v>7410</v>
      </c>
      <c r="I199" s="19" t="s">
        <v>7</v>
      </c>
      <c r="J199" s="28" t="s">
        <v>8</v>
      </c>
      <c r="K199" s="19" t="s">
        <v>9</v>
      </c>
    </row>
    <row r="200" spans="1:11" x14ac:dyDescent="0.45">
      <c r="A200" s="27" t="s">
        <v>60</v>
      </c>
      <c r="B200" s="27" t="s">
        <v>266</v>
      </c>
      <c r="C200" s="27" t="s">
        <v>4</v>
      </c>
      <c r="D200" s="27" t="s">
        <v>5</v>
      </c>
      <c r="E200" s="20" t="s">
        <v>6</v>
      </c>
      <c r="F200" s="20">
        <v>195</v>
      </c>
      <c r="G200" s="19">
        <v>38</v>
      </c>
      <c r="H200" s="19">
        <v>7410</v>
      </c>
      <c r="I200" s="19" t="s">
        <v>7</v>
      </c>
      <c r="J200" s="28" t="s">
        <v>8</v>
      </c>
      <c r="K200" s="19" t="s">
        <v>9</v>
      </c>
    </row>
    <row r="201" spans="1:11" x14ac:dyDescent="0.45">
      <c r="A201" s="27" t="s">
        <v>60</v>
      </c>
      <c r="B201" s="27" t="s">
        <v>263</v>
      </c>
      <c r="C201" s="27" t="s">
        <v>4</v>
      </c>
      <c r="D201" s="27" t="s">
        <v>5</v>
      </c>
      <c r="E201" s="20" t="s">
        <v>37</v>
      </c>
      <c r="F201" s="20">
        <v>218</v>
      </c>
      <c r="G201" s="19">
        <v>39</v>
      </c>
      <c r="H201" s="19">
        <v>8502</v>
      </c>
      <c r="I201" s="19" t="s">
        <v>38</v>
      </c>
      <c r="J201" s="28" t="s">
        <v>39</v>
      </c>
      <c r="K201" s="19" t="s">
        <v>40</v>
      </c>
    </row>
    <row r="202" spans="1:11" x14ac:dyDescent="0.45">
      <c r="A202" s="27" t="s">
        <v>60</v>
      </c>
      <c r="B202" s="27" t="s">
        <v>264</v>
      </c>
      <c r="C202" s="27" t="s">
        <v>4</v>
      </c>
      <c r="D202" s="27" t="s">
        <v>5</v>
      </c>
      <c r="E202" s="20" t="s">
        <v>37</v>
      </c>
      <c r="F202" s="20">
        <v>218</v>
      </c>
      <c r="G202" s="19">
        <v>39</v>
      </c>
      <c r="H202" s="19">
        <v>8502</v>
      </c>
      <c r="I202" s="19" t="s">
        <v>38</v>
      </c>
      <c r="J202" s="28" t="s">
        <v>39</v>
      </c>
      <c r="K202" s="19" t="s">
        <v>40</v>
      </c>
    </row>
    <row r="203" spans="1:11" x14ac:dyDescent="0.45">
      <c r="A203" s="27" t="s">
        <v>245</v>
      </c>
      <c r="B203" s="27" t="s">
        <v>317</v>
      </c>
      <c r="C203" s="27" t="s">
        <v>4</v>
      </c>
      <c r="D203" s="27" t="s">
        <v>69</v>
      </c>
      <c r="E203" s="20" t="s">
        <v>203</v>
      </c>
      <c r="F203" s="20">
        <v>187</v>
      </c>
      <c r="G203" s="19">
        <v>20</v>
      </c>
      <c r="H203" s="19">
        <v>3740</v>
      </c>
      <c r="I203" s="19" t="s">
        <v>204</v>
      </c>
      <c r="J203" s="28" t="s">
        <v>205</v>
      </c>
      <c r="K203" s="19" t="s">
        <v>206</v>
      </c>
    </row>
    <row r="204" spans="1:11" x14ac:dyDescent="0.45">
      <c r="A204" s="27" t="s">
        <v>245</v>
      </c>
      <c r="B204" s="27" t="s">
        <v>318</v>
      </c>
      <c r="C204" s="27" t="s">
        <v>4</v>
      </c>
      <c r="D204" s="27" t="s">
        <v>69</v>
      </c>
      <c r="E204" s="20" t="s">
        <v>203</v>
      </c>
      <c r="F204" s="20">
        <v>187</v>
      </c>
      <c r="G204" s="19">
        <v>21</v>
      </c>
      <c r="H204" s="19">
        <v>3927</v>
      </c>
      <c r="I204" s="19" t="s">
        <v>204</v>
      </c>
      <c r="J204" s="28" t="s">
        <v>205</v>
      </c>
      <c r="K204" s="19" t="s">
        <v>206</v>
      </c>
    </row>
    <row r="205" spans="1:11" x14ac:dyDescent="0.45">
      <c r="A205" s="27" t="s">
        <v>245</v>
      </c>
      <c r="B205" s="27" t="s">
        <v>319</v>
      </c>
      <c r="C205" s="27" t="s">
        <v>4</v>
      </c>
      <c r="D205" s="27" t="s">
        <v>69</v>
      </c>
      <c r="E205" s="20" t="s">
        <v>203</v>
      </c>
      <c r="F205" s="20">
        <v>187</v>
      </c>
      <c r="G205" s="19">
        <v>20</v>
      </c>
      <c r="H205" s="19">
        <v>3740</v>
      </c>
      <c r="I205" s="19" t="s">
        <v>204</v>
      </c>
      <c r="J205" s="28" t="s">
        <v>205</v>
      </c>
      <c r="K205" s="19" t="s">
        <v>206</v>
      </c>
    </row>
    <row r="206" spans="1:11" x14ac:dyDescent="0.45">
      <c r="A206" s="27" t="s">
        <v>245</v>
      </c>
      <c r="B206" s="27" t="s">
        <v>320</v>
      </c>
      <c r="C206" s="27" t="s">
        <v>4</v>
      </c>
      <c r="D206" s="27" t="s">
        <v>69</v>
      </c>
      <c r="E206" s="20" t="s">
        <v>203</v>
      </c>
      <c r="F206" s="20">
        <v>187</v>
      </c>
      <c r="G206" s="19">
        <v>7</v>
      </c>
      <c r="H206" s="19">
        <v>1309</v>
      </c>
      <c r="I206" s="19" t="s">
        <v>204</v>
      </c>
      <c r="J206" s="28" t="s">
        <v>205</v>
      </c>
      <c r="K206" s="19" t="s">
        <v>206</v>
      </c>
    </row>
    <row r="207" spans="1:11" x14ac:dyDescent="0.45">
      <c r="A207" s="27" t="s">
        <v>245</v>
      </c>
      <c r="B207" s="27" t="s">
        <v>321</v>
      </c>
      <c r="C207" s="27" t="s">
        <v>4</v>
      </c>
      <c r="D207" s="27" t="s">
        <v>69</v>
      </c>
      <c r="E207" s="20" t="s">
        <v>203</v>
      </c>
      <c r="F207" s="20">
        <v>187</v>
      </c>
      <c r="G207" s="19">
        <v>10</v>
      </c>
      <c r="H207" s="19">
        <v>1870</v>
      </c>
      <c r="I207" s="19" t="s">
        <v>204</v>
      </c>
      <c r="J207" s="28" t="s">
        <v>205</v>
      </c>
      <c r="K207" s="19" t="s">
        <v>206</v>
      </c>
    </row>
    <row r="208" spans="1:11" x14ac:dyDescent="0.45">
      <c r="A208" s="27" t="s">
        <v>245</v>
      </c>
      <c r="B208" s="27" t="s">
        <v>320</v>
      </c>
      <c r="C208" s="27" t="s">
        <v>4</v>
      </c>
      <c r="D208" s="27" t="s">
        <v>69</v>
      </c>
      <c r="E208" s="20" t="s">
        <v>217</v>
      </c>
      <c r="F208" s="20">
        <v>285</v>
      </c>
      <c r="G208" s="19">
        <v>7</v>
      </c>
      <c r="H208" s="19">
        <v>1995</v>
      </c>
      <c r="I208" s="19" t="s">
        <v>92</v>
      </c>
      <c r="J208" s="28" t="s">
        <v>90</v>
      </c>
    </row>
    <row r="209" spans="1:11" x14ac:dyDescent="0.45">
      <c r="A209" s="27" t="s">
        <v>245</v>
      </c>
      <c r="B209" s="27" t="s">
        <v>322</v>
      </c>
      <c r="C209" s="27" t="s">
        <v>4</v>
      </c>
      <c r="D209" s="27" t="s">
        <v>69</v>
      </c>
      <c r="E209" s="20" t="s">
        <v>217</v>
      </c>
      <c r="F209" s="20">
        <v>285</v>
      </c>
      <c r="G209" s="19">
        <v>5</v>
      </c>
      <c r="H209" s="19">
        <v>1425</v>
      </c>
      <c r="I209" s="19" t="s">
        <v>92</v>
      </c>
      <c r="J209" s="28" t="s">
        <v>90</v>
      </c>
    </row>
    <row r="210" spans="1:11" x14ac:dyDescent="0.45">
      <c r="A210" s="27" t="s">
        <v>60</v>
      </c>
      <c r="B210" s="27" t="s">
        <v>271</v>
      </c>
      <c r="C210" s="27" t="s">
        <v>4</v>
      </c>
      <c r="D210" s="27" t="s">
        <v>69</v>
      </c>
      <c r="E210" s="20" t="s">
        <v>91</v>
      </c>
      <c r="F210" s="20">
        <v>265</v>
      </c>
      <c r="G210" s="19">
        <v>39</v>
      </c>
      <c r="H210" s="19">
        <v>10335</v>
      </c>
      <c r="I210" s="19" t="s">
        <v>92</v>
      </c>
      <c r="J210" s="28" t="s">
        <v>90</v>
      </c>
    </row>
    <row r="211" spans="1:11" x14ac:dyDescent="0.45">
      <c r="A211" s="27" t="s">
        <v>60</v>
      </c>
      <c r="B211" s="27" t="s">
        <v>272</v>
      </c>
      <c r="C211" s="27" t="s">
        <v>4</v>
      </c>
      <c r="D211" s="27" t="s">
        <v>69</v>
      </c>
      <c r="E211" s="20" t="s">
        <v>91</v>
      </c>
      <c r="F211" s="20">
        <v>265</v>
      </c>
      <c r="G211" s="19">
        <v>39</v>
      </c>
      <c r="H211" s="19">
        <v>10335</v>
      </c>
      <c r="I211" s="19" t="s">
        <v>92</v>
      </c>
      <c r="J211" s="28" t="s">
        <v>90</v>
      </c>
    </row>
    <row r="212" spans="1:11" x14ac:dyDescent="0.45">
      <c r="A212" s="27" t="s">
        <v>60</v>
      </c>
      <c r="B212" s="27" t="s">
        <v>273</v>
      </c>
      <c r="C212" s="27" t="s">
        <v>4</v>
      </c>
      <c r="D212" s="27" t="s">
        <v>69</v>
      </c>
      <c r="E212" s="20" t="s">
        <v>91</v>
      </c>
      <c r="F212" s="20">
        <v>265</v>
      </c>
      <c r="G212" s="19">
        <v>39</v>
      </c>
      <c r="H212" s="19">
        <v>10335</v>
      </c>
      <c r="I212" s="19" t="s">
        <v>92</v>
      </c>
      <c r="J212" s="28" t="s">
        <v>90</v>
      </c>
    </row>
    <row r="213" spans="1:11" x14ac:dyDescent="0.45">
      <c r="A213" s="27" t="s">
        <v>60</v>
      </c>
      <c r="B213" s="27" t="s">
        <v>274</v>
      </c>
      <c r="C213" s="27" t="s">
        <v>4</v>
      </c>
      <c r="D213" s="27" t="s">
        <v>69</v>
      </c>
      <c r="E213" s="20" t="s">
        <v>91</v>
      </c>
      <c r="F213" s="20">
        <v>265</v>
      </c>
      <c r="G213" s="19">
        <v>39</v>
      </c>
      <c r="H213" s="19">
        <v>10335</v>
      </c>
      <c r="I213" s="19" t="s">
        <v>92</v>
      </c>
      <c r="J213" s="28" t="s">
        <v>90</v>
      </c>
    </row>
    <row r="214" spans="1:11" x14ac:dyDescent="0.45">
      <c r="A214" s="27" t="s">
        <v>60</v>
      </c>
      <c r="B214" s="27" t="s">
        <v>267</v>
      </c>
      <c r="C214" s="27" t="s">
        <v>4</v>
      </c>
      <c r="D214" s="27" t="s">
        <v>69</v>
      </c>
      <c r="E214" s="20" t="s">
        <v>70</v>
      </c>
      <c r="F214" s="20">
        <v>180</v>
      </c>
      <c r="G214" s="19">
        <v>40</v>
      </c>
      <c r="H214" s="19">
        <v>7200</v>
      </c>
      <c r="I214" s="19" t="s">
        <v>71</v>
      </c>
      <c r="J214" s="28" t="s">
        <v>72</v>
      </c>
      <c r="K214" s="19" t="s">
        <v>73</v>
      </c>
    </row>
    <row r="215" spans="1:11" x14ac:dyDescent="0.45">
      <c r="A215" s="27" t="s">
        <v>60</v>
      </c>
      <c r="B215" s="27" t="s">
        <v>268</v>
      </c>
      <c r="C215" s="27" t="s">
        <v>4</v>
      </c>
      <c r="D215" s="27" t="s">
        <v>69</v>
      </c>
      <c r="E215" s="20" t="s">
        <v>70</v>
      </c>
      <c r="F215" s="20">
        <v>180</v>
      </c>
      <c r="G215" s="19">
        <v>40</v>
      </c>
      <c r="H215" s="19">
        <v>7200</v>
      </c>
      <c r="I215" s="19" t="s">
        <v>71</v>
      </c>
      <c r="J215" s="28" t="s">
        <v>72</v>
      </c>
      <c r="K215" s="19" t="s">
        <v>73</v>
      </c>
    </row>
    <row r="216" spans="1:11" x14ac:dyDescent="0.45">
      <c r="A216" s="27" t="s">
        <v>60</v>
      </c>
      <c r="B216" s="27" t="s">
        <v>269</v>
      </c>
      <c r="C216" s="27" t="s">
        <v>4</v>
      </c>
      <c r="D216" s="27" t="s">
        <v>69</v>
      </c>
      <c r="E216" s="20" t="s">
        <v>70</v>
      </c>
      <c r="F216" s="20">
        <v>180</v>
      </c>
      <c r="G216" s="19">
        <v>40</v>
      </c>
      <c r="H216" s="19">
        <v>7200</v>
      </c>
      <c r="I216" s="19" t="s">
        <v>71</v>
      </c>
      <c r="J216" s="28" t="s">
        <v>72</v>
      </c>
      <c r="K216" s="19" t="s">
        <v>73</v>
      </c>
    </row>
    <row r="217" spans="1:11" x14ac:dyDescent="0.45">
      <c r="A217" s="27" t="s">
        <v>60</v>
      </c>
      <c r="B217" s="27" t="s">
        <v>270</v>
      </c>
      <c r="C217" s="27" t="s">
        <v>4</v>
      </c>
      <c r="D217" s="27" t="s">
        <v>69</v>
      </c>
      <c r="E217" s="20" t="s">
        <v>70</v>
      </c>
      <c r="F217" s="20">
        <v>180</v>
      </c>
      <c r="G217" s="19">
        <v>39</v>
      </c>
      <c r="H217" s="19">
        <v>7020</v>
      </c>
      <c r="I217" s="19" t="s">
        <v>71</v>
      </c>
      <c r="J217" s="28" t="s">
        <v>72</v>
      </c>
      <c r="K217" s="19" t="s">
        <v>73</v>
      </c>
    </row>
    <row r="218" spans="1:11" x14ac:dyDescent="0.45">
      <c r="A218" s="27" t="s">
        <v>60</v>
      </c>
      <c r="B218" s="27" t="s">
        <v>271</v>
      </c>
      <c r="C218" s="27" t="s">
        <v>4</v>
      </c>
      <c r="D218" s="27" t="s">
        <v>69</v>
      </c>
      <c r="E218" s="20" t="s">
        <v>70</v>
      </c>
      <c r="F218" s="20">
        <v>180</v>
      </c>
      <c r="G218" s="19">
        <v>39</v>
      </c>
      <c r="H218" s="19">
        <v>7020</v>
      </c>
      <c r="I218" s="19" t="s">
        <v>71</v>
      </c>
      <c r="J218" s="28" t="s">
        <v>72</v>
      </c>
      <c r="K218" s="19" t="s">
        <v>73</v>
      </c>
    </row>
    <row r="219" spans="1:11" x14ac:dyDescent="0.45">
      <c r="A219" s="27" t="s">
        <v>60</v>
      </c>
      <c r="B219" s="27" t="s">
        <v>272</v>
      </c>
      <c r="C219" s="27" t="s">
        <v>4</v>
      </c>
      <c r="D219" s="27" t="s">
        <v>69</v>
      </c>
      <c r="E219" s="20" t="s">
        <v>70</v>
      </c>
      <c r="F219" s="20">
        <v>180</v>
      </c>
      <c r="G219" s="19">
        <v>39</v>
      </c>
      <c r="H219" s="19">
        <v>7020</v>
      </c>
      <c r="I219" s="19" t="s">
        <v>71</v>
      </c>
      <c r="J219" s="28" t="s">
        <v>72</v>
      </c>
      <c r="K219" s="19" t="s">
        <v>73</v>
      </c>
    </row>
    <row r="220" spans="1:11" x14ac:dyDescent="0.45">
      <c r="A220" s="27" t="s">
        <v>60</v>
      </c>
      <c r="B220" s="27" t="s">
        <v>273</v>
      </c>
      <c r="C220" s="27" t="s">
        <v>4</v>
      </c>
      <c r="D220" s="27" t="s">
        <v>69</v>
      </c>
      <c r="E220" s="20" t="s">
        <v>70</v>
      </c>
      <c r="F220" s="20">
        <v>180</v>
      </c>
      <c r="G220" s="19">
        <v>39</v>
      </c>
      <c r="H220" s="19">
        <v>7020</v>
      </c>
      <c r="I220" s="19" t="s">
        <v>71</v>
      </c>
      <c r="J220" s="28" t="s">
        <v>72</v>
      </c>
      <c r="K220" s="19" t="s">
        <v>73</v>
      </c>
    </row>
    <row r="221" spans="1:11" x14ac:dyDescent="0.45">
      <c r="A221" s="27" t="s">
        <v>60</v>
      </c>
      <c r="B221" s="27" t="s">
        <v>274</v>
      </c>
      <c r="C221" s="27" t="s">
        <v>4</v>
      </c>
      <c r="D221" s="27" t="s">
        <v>69</v>
      </c>
      <c r="E221" s="20" t="s">
        <v>70</v>
      </c>
      <c r="F221" s="20">
        <v>180</v>
      </c>
      <c r="G221" s="19">
        <v>39</v>
      </c>
      <c r="H221" s="19">
        <v>7020</v>
      </c>
      <c r="I221" s="19" t="s">
        <v>71</v>
      </c>
      <c r="J221" s="28" t="s">
        <v>72</v>
      </c>
      <c r="K221" s="19" t="s">
        <v>73</v>
      </c>
    </row>
    <row r="222" spans="1:11" x14ac:dyDescent="0.45">
      <c r="A222" s="27" t="s">
        <v>60</v>
      </c>
      <c r="B222" s="27" t="s">
        <v>275</v>
      </c>
      <c r="C222" s="27" t="s">
        <v>4</v>
      </c>
      <c r="D222" s="27" t="s">
        <v>69</v>
      </c>
      <c r="E222" s="20" t="s">
        <v>70</v>
      </c>
      <c r="F222" s="20">
        <v>180</v>
      </c>
      <c r="G222" s="19">
        <v>38</v>
      </c>
      <c r="H222" s="19">
        <v>6840</v>
      </c>
      <c r="I222" s="19" t="s">
        <v>71</v>
      </c>
      <c r="J222" s="28" t="s">
        <v>72</v>
      </c>
      <c r="K222" s="19" t="s">
        <v>73</v>
      </c>
    </row>
    <row r="223" spans="1:11" x14ac:dyDescent="0.45">
      <c r="A223" s="27" t="s">
        <v>60</v>
      </c>
      <c r="B223" s="27" t="s">
        <v>276</v>
      </c>
      <c r="C223" s="27" t="s">
        <v>4</v>
      </c>
      <c r="D223" s="27" t="s">
        <v>69</v>
      </c>
      <c r="E223" s="20" t="s">
        <v>70</v>
      </c>
      <c r="F223" s="20">
        <v>180</v>
      </c>
      <c r="G223" s="19">
        <v>37</v>
      </c>
      <c r="H223" s="19">
        <v>6660</v>
      </c>
      <c r="I223" s="19" t="s">
        <v>71</v>
      </c>
      <c r="J223" s="28" t="s">
        <v>72</v>
      </c>
      <c r="K223" s="19" t="s">
        <v>73</v>
      </c>
    </row>
    <row r="224" spans="1:11" x14ac:dyDescent="0.45">
      <c r="A224" s="27" t="s">
        <v>60</v>
      </c>
      <c r="B224" s="27" t="s">
        <v>277</v>
      </c>
      <c r="C224" s="27" t="s">
        <v>4</v>
      </c>
      <c r="D224" s="27" t="s">
        <v>69</v>
      </c>
      <c r="E224" s="20" t="s">
        <v>70</v>
      </c>
      <c r="F224" s="20">
        <v>180</v>
      </c>
      <c r="G224" s="19">
        <v>39</v>
      </c>
      <c r="H224" s="19">
        <v>7020</v>
      </c>
      <c r="I224" s="19" t="s">
        <v>71</v>
      </c>
      <c r="J224" s="28" t="s">
        <v>72</v>
      </c>
      <c r="K224" s="19" t="s">
        <v>73</v>
      </c>
    </row>
    <row r="225" spans="1:11" x14ac:dyDescent="0.45">
      <c r="A225" s="27" t="s">
        <v>60</v>
      </c>
      <c r="B225" s="27" t="s">
        <v>278</v>
      </c>
      <c r="C225" s="27" t="s">
        <v>4</v>
      </c>
      <c r="D225" s="27" t="s">
        <v>69</v>
      </c>
      <c r="E225" s="20" t="s">
        <v>70</v>
      </c>
      <c r="F225" s="20">
        <v>180</v>
      </c>
      <c r="G225" s="19">
        <v>38</v>
      </c>
      <c r="H225" s="19">
        <v>6840</v>
      </c>
      <c r="I225" s="19" t="s">
        <v>71</v>
      </c>
      <c r="J225" s="28" t="s">
        <v>72</v>
      </c>
      <c r="K225" s="19" t="s">
        <v>73</v>
      </c>
    </row>
    <row r="226" spans="1:11" x14ac:dyDescent="0.45">
      <c r="A226" s="27" t="s">
        <v>60</v>
      </c>
      <c r="B226" s="27" t="s">
        <v>279</v>
      </c>
      <c r="C226" s="27" t="s">
        <v>4</v>
      </c>
      <c r="D226" s="27" t="s">
        <v>69</v>
      </c>
      <c r="E226" s="20" t="s">
        <v>70</v>
      </c>
      <c r="F226" s="20">
        <v>180</v>
      </c>
      <c r="G226" s="19">
        <v>39</v>
      </c>
      <c r="H226" s="19">
        <v>7020</v>
      </c>
      <c r="I226" s="19" t="s">
        <v>71</v>
      </c>
      <c r="J226" s="28" t="s">
        <v>72</v>
      </c>
      <c r="K226" s="19" t="s">
        <v>73</v>
      </c>
    </row>
    <row r="227" spans="1:11" x14ac:dyDescent="0.45">
      <c r="A227" s="27" t="s">
        <v>60</v>
      </c>
      <c r="B227" s="27" t="s">
        <v>280</v>
      </c>
      <c r="C227" s="27" t="s">
        <v>4</v>
      </c>
      <c r="D227" s="27" t="s">
        <v>69</v>
      </c>
      <c r="E227" s="20" t="s">
        <v>70</v>
      </c>
      <c r="F227" s="20">
        <v>180</v>
      </c>
      <c r="G227" s="19">
        <v>39</v>
      </c>
      <c r="H227" s="19">
        <v>7020</v>
      </c>
      <c r="I227" s="19" t="s">
        <v>71</v>
      </c>
      <c r="J227" s="28" t="s">
        <v>72</v>
      </c>
      <c r="K227" s="19" t="s">
        <v>73</v>
      </c>
    </row>
    <row r="228" spans="1:11" x14ac:dyDescent="0.45">
      <c r="A228" s="27" t="s">
        <v>60</v>
      </c>
      <c r="B228" s="27" t="s">
        <v>281</v>
      </c>
      <c r="C228" s="27" t="s">
        <v>103</v>
      </c>
      <c r="D228" s="27" t="s">
        <v>10</v>
      </c>
      <c r="E228" s="20" t="s">
        <v>119</v>
      </c>
      <c r="F228" s="20">
        <v>248</v>
      </c>
      <c r="G228" s="19">
        <v>30</v>
      </c>
      <c r="H228" s="19">
        <v>7440</v>
      </c>
      <c r="I228" s="19" t="s">
        <v>24</v>
      </c>
      <c r="J228" s="28" t="s">
        <v>120</v>
      </c>
      <c r="K228" s="19" t="s">
        <v>121</v>
      </c>
    </row>
    <row r="229" spans="1:11" x14ac:dyDescent="0.45">
      <c r="A229" s="27" t="s">
        <v>60</v>
      </c>
      <c r="B229" s="27" t="s">
        <v>282</v>
      </c>
      <c r="C229" s="27" t="s">
        <v>103</v>
      </c>
      <c r="D229" s="27" t="s">
        <v>10</v>
      </c>
      <c r="E229" s="20" t="s">
        <v>119</v>
      </c>
      <c r="F229" s="20">
        <v>248</v>
      </c>
      <c r="G229" s="19">
        <v>30</v>
      </c>
      <c r="H229" s="19">
        <v>7440</v>
      </c>
      <c r="I229" s="19" t="s">
        <v>24</v>
      </c>
      <c r="J229" s="28" t="s">
        <v>120</v>
      </c>
      <c r="K229" s="19" t="s">
        <v>121</v>
      </c>
    </row>
    <row r="230" spans="1:11" x14ac:dyDescent="0.45">
      <c r="A230" s="27" t="s">
        <v>60</v>
      </c>
      <c r="B230" s="27" t="s">
        <v>283</v>
      </c>
      <c r="C230" s="27" t="s">
        <v>103</v>
      </c>
      <c r="D230" s="27" t="s">
        <v>10</v>
      </c>
      <c r="E230" s="20" t="s">
        <v>119</v>
      </c>
      <c r="F230" s="20">
        <v>248</v>
      </c>
      <c r="G230" s="19">
        <v>51</v>
      </c>
      <c r="H230" s="19">
        <v>12648</v>
      </c>
      <c r="I230" s="19" t="s">
        <v>24</v>
      </c>
      <c r="J230" s="28" t="s">
        <v>120</v>
      </c>
      <c r="K230" s="19" t="s">
        <v>121</v>
      </c>
    </row>
    <row r="231" spans="1:11" x14ac:dyDescent="0.45">
      <c r="A231" s="27" t="s">
        <v>60</v>
      </c>
      <c r="B231" s="27" t="s">
        <v>284</v>
      </c>
      <c r="C231" s="27" t="s">
        <v>103</v>
      </c>
      <c r="D231" s="27" t="s">
        <v>10</v>
      </c>
      <c r="E231" s="20" t="s">
        <v>119</v>
      </c>
      <c r="F231" s="20">
        <v>248</v>
      </c>
      <c r="G231" s="19">
        <v>53</v>
      </c>
      <c r="H231" s="19">
        <v>13144</v>
      </c>
      <c r="I231" s="19" t="s">
        <v>24</v>
      </c>
      <c r="J231" s="28" t="s">
        <v>120</v>
      </c>
      <c r="K231" s="19" t="s">
        <v>121</v>
      </c>
    </row>
    <row r="232" spans="1:11" x14ac:dyDescent="0.45">
      <c r="A232" s="27" t="s">
        <v>60</v>
      </c>
      <c r="B232" s="27" t="s">
        <v>297</v>
      </c>
      <c r="C232" s="27" t="s">
        <v>103</v>
      </c>
      <c r="D232" s="27" t="s">
        <v>10</v>
      </c>
      <c r="E232" s="20" t="s">
        <v>119</v>
      </c>
      <c r="F232" s="20">
        <v>248</v>
      </c>
      <c r="G232" s="19">
        <v>40</v>
      </c>
      <c r="H232" s="19">
        <v>9920</v>
      </c>
      <c r="I232" s="19" t="s">
        <v>24</v>
      </c>
      <c r="J232" s="28" t="s">
        <v>120</v>
      </c>
      <c r="K232" s="19" t="s">
        <v>121</v>
      </c>
    </row>
    <row r="233" spans="1:11" x14ac:dyDescent="0.45">
      <c r="A233" s="27" t="s">
        <v>60</v>
      </c>
      <c r="B233" s="27" t="s">
        <v>298</v>
      </c>
      <c r="C233" s="27" t="s">
        <v>103</v>
      </c>
      <c r="D233" s="27" t="s">
        <v>10</v>
      </c>
      <c r="E233" s="20" t="s">
        <v>119</v>
      </c>
      <c r="F233" s="20">
        <v>248</v>
      </c>
      <c r="G233" s="19">
        <v>42</v>
      </c>
      <c r="H233" s="19">
        <v>10416</v>
      </c>
      <c r="I233" s="19" t="s">
        <v>24</v>
      </c>
      <c r="J233" s="28" t="s">
        <v>120</v>
      </c>
      <c r="K233" s="19" t="s">
        <v>121</v>
      </c>
    </row>
    <row r="234" spans="1:11" x14ac:dyDescent="0.45">
      <c r="A234" s="27" t="s">
        <v>60</v>
      </c>
      <c r="B234" s="27" t="s">
        <v>281</v>
      </c>
      <c r="C234" s="27" t="s">
        <v>103</v>
      </c>
      <c r="D234" s="27" t="s">
        <v>10</v>
      </c>
      <c r="E234" s="20" t="s">
        <v>104</v>
      </c>
      <c r="F234" s="20">
        <v>220</v>
      </c>
      <c r="G234" s="19">
        <v>29</v>
      </c>
      <c r="H234" s="19">
        <v>6380</v>
      </c>
      <c r="I234" s="19" t="s">
        <v>105</v>
      </c>
      <c r="J234" s="28" t="s">
        <v>106</v>
      </c>
      <c r="K234" s="19" t="s">
        <v>107</v>
      </c>
    </row>
    <row r="235" spans="1:11" x14ac:dyDescent="0.45">
      <c r="A235" s="27" t="s">
        <v>60</v>
      </c>
      <c r="B235" s="27" t="s">
        <v>282</v>
      </c>
      <c r="C235" s="27" t="s">
        <v>103</v>
      </c>
      <c r="D235" s="27" t="s">
        <v>10</v>
      </c>
      <c r="E235" s="20" t="s">
        <v>104</v>
      </c>
      <c r="F235" s="20">
        <v>220</v>
      </c>
      <c r="G235" s="19">
        <v>30</v>
      </c>
      <c r="H235" s="19">
        <v>6600</v>
      </c>
      <c r="I235" s="19" t="s">
        <v>105</v>
      </c>
      <c r="J235" s="28" t="s">
        <v>106</v>
      </c>
      <c r="K235" s="19" t="s">
        <v>107</v>
      </c>
    </row>
    <row r="236" spans="1:11" x14ac:dyDescent="0.45">
      <c r="A236" s="27" t="s">
        <v>60</v>
      </c>
      <c r="B236" s="27" t="s">
        <v>283</v>
      </c>
      <c r="C236" s="27" t="s">
        <v>103</v>
      </c>
      <c r="D236" s="27" t="s">
        <v>10</v>
      </c>
      <c r="E236" s="20" t="s">
        <v>104</v>
      </c>
      <c r="F236" s="20">
        <v>220</v>
      </c>
      <c r="G236" s="19">
        <v>51</v>
      </c>
      <c r="H236" s="19">
        <v>11220</v>
      </c>
      <c r="I236" s="19" t="s">
        <v>105</v>
      </c>
      <c r="J236" s="28" t="s">
        <v>106</v>
      </c>
      <c r="K236" s="19" t="s">
        <v>107</v>
      </c>
    </row>
    <row r="237" spans="1:11" x14ac:dyDescent="0.45">
      <c r="A237" s="27" t="s">
        <v>60</v>
      </c>
      <c r="B237" s="27" t="s">
        <v>284</v>
      </c>
      <c r="C237" s="27" t="s">
        <v>103</v>
      </c>
      <c r="D237" s="27" t="s">
        <v>10</v>
      </c>
      <c r="E237" s="20" t="s">
        <v>104</v>
      </c>
      <c r="F237" s="20">
        <v>220</v>
      </c>
      <c r="G237" s="19">
        <v>53</v>
      </c>
      <c r="H237" s="19">
        <v>11660</v>
      </c>
      <c r="I237" s="19" t="s">
        <v>105</v>
      </c>
      <c r="J237" s="28" t="s">
        <v>106</v>
      </c>
      <c r="K237" s="19" t="s">
        <v>107</v>
      </c>
    </row>
    <row r="238" spans="1:11" x14ac:dyDescent="0.45">
      <c r="A238" s="27" t="s">
        <v>245</v>
      </c>
      <c r="B238" s="27" t="s">
        <v>323</v>
      </c>
      <c r="C238" s="27" t="s">
        <v>103</v>
      </c>
      <c r="D238" s="27" t="s">
        <v>161</v>
      </c>
      <c r="E238" s="20" t="s">
        <v>235</v>
      </c>
      <c r="F238" s="20">
        <v>150</v>
      </c>
      <c r="G238" s="19">
        <v>16</v>
      </c>
      <c r="H238" s="19">
        <v>2400</v>
      </c>
      <c r="I238" s="19" t="s">
        <v>236</v>
      </c>
      <c r="J238" s="28" t="s">
        <v>90</v>
      </c>
    </row>
    <row r="239" spans="1:11" x14ac:dyDescent="0.45">
      <c r="A239" s="27" t="s">
        <v>245</v>
      </c>
      <c r="B239" s="27" t="s">
        <v>324</v>
      </c>
      <c r="C239" s="27" t="s">
        <v>103</v>
      </c>
      <c r="D239" s="27" t="s">
        <v>161</v>
      </c>
      <c r="E239" s="20" t="s">
        <v>235</v>
      </c>
      <c r="F239" s="20">
        <v>150</v>
      </c>
      <c r="G239" s="19">
        <v>17</v>
      </c>
      <c r="H239" s="19">
        <v>2550</v>
      </c>
      <c r="I239" s="19" t="s">
        <v>236</v>
      </c>
      <c r="J239" s="28" t="s">
        <v>90</v>
      </c>
    </row>
    <row r="240" spans="1:11" x14ac:dyDescent="0.45">
      <c r="A240" s="27" t="s">
        <v>245</v>
      </c>
      <c r="B240" s="27" t="s">
        <v>325</v>
      </c>
      <c r="C240" s="27" t="s">
        <v>103</v>
      </c>
      <c r="D240" s="27" t="s">
        <v>161</v>
      </c>
      <c r="E240" s="20" t="s">
        <v>235</v>
      </c>
      <c r="F240" s="20">
        <v>150</v>
      </c>
      <c r="G240" s="19">
        <v>16</v>
      </c>
      <c r="H240" s="19">
        <v>2400</v>
      </c>
      <c r="I240" s="19" t="s">
        <v>236</v>
      </c>
      <c r="J240" s="28" t="s">
        <v>90</v>
      </c>
    </row>
    <row r="241" spans="1:10" x14ac:dyDescent="0.45">
      <c r="A241" s="27" t="s">
        <v>245</v>
      </c>
      <c r="B241" s="27" t="s">
        <v>326</v>
      </c>
      <c r="C241" s="27" t="s">
        <v>103</v>
      </c>
      <c r="D241" s="27" t="s">
        <v>161</v>
      </c>
      <c r="E241" s="20" t="s">
        <v>235</v>
      </c>
      <c r="F241" s="20">
        <v>150</v>
      </c>
      <c r="G241" s="19">
        <v>17</v>
      </c>
      <c r="H241" s="19">
        <v>2550</v>
      </c>
      <c r="I241" s="19" t="s">
        <v>236</v>
      </c>
      <c r="J241" s="28" t="s">
        <v>90</v>
      </c>
    </row>
    <row r="242" spans="1:10" x14ac:dyDescent="0.45">
      <c r="A242" s="27" t="s">
        <v>245</v>
      </c>
      <c r="B242" s="27" t="s">
        <v>327</v>
      </c>
      <c r="C242" s="27" t="s">
        <v>103</v>
      </c>
      <c r="D242" s="27" t="s">
        <v>161</v>
      </c>
      <c r="E242" s="20" t="s">
        <v>235</v>
      </c>
      <c r="F242" s="20">
        <v>150</v>
      </c>
      <c r="G242" s="19">
        <v>20</v>
      </c>
      <c r="H242" s="19">
        <v>3000</v>
      </c>
      <c r="I242" s="19" t="s">
        <v>236</v>
      </c>
      <c r="J242" s="28" t="s">
        <v>90</v>
      </c>
    </row>
    <row r="243" spans="1:10" x14ac:dyDescent="0.45">
      <c r="A243" s="27" t="s">
        <v>245</v>
      </c>
      <c r="B243" s="27" t="s">
        <v>328</v>
      </c>
      <c r="C243" s="27" t="s">
        <v>103</v>
      </c>
      <c r="D243" s="27" t="s">
        <v>161</v>
      </c>
      <c r="E243" s="20" t="s">
        <v>235</v>
      </c>
      <c r="F243" s="20">
        <v>150</v>
      </c>
      <c r="G243" s="19">
        <v>10</v>
      </c>
      <c r="H243" s="19">
        <v>1500</v>
      </c>
      <c r="I243" s="19" t="s">
        <v>236</v>
      </c>
      <c r="J243" s="28" t="s">
        <v>90</v>
      </c>
    </row>
    <row r="244" spans="1:10" x14ac:dyDescent="0.45">
      <c r="A244" s="27" t="s">
        <v>60</v>
      </c>
      <c r="B244" s="27" t="s">
        <v>285</v>
      </c>
      <c r="C244" s="27" t="s">
        <v>103</v>
      </c>
      <c r="D244" s="27" t="s">
        <v>161</v>
      </c>
      <c r="E244" s="20" t="s">
        <v>162</v>
      </c>
      <c r="F244" s="20">
        <v>160</v>
      </c>
      <c r="G244" s="19">
        <v>40</v>
      </c>
      <c r="H244" s="19">
        <v>6400</v>
      </c>
      <c r="I244" s="19" t="s">
        <v>163</v>
      </c>
      <c r="J244" s="28" t="s">
        <v>90</v>
      </c>
    </row>
    <row r="245" spans="1:10" x14ac:dyDescent="0.45">
      <c r="A245" s="27" t="s">
        <v>60</v>
      </c>
      <c r="B245" s="27" t="s">
        <v>286</v>
      </c>
      <c r="C245" s="27" t="s">
        <v>103</v>
      </c>
      <c r="D245" s="27" t="s">
        <v>161</v>
      </c>
      <c r="E245" s="20" t="s">
        <v>162</v>
      </c>
      <c r="F245" s="20">
        <v>160</v>
      </c>
      <c r="G245" s="19">
        <v>38</v>
      </c>
      <c r="H245" s="19">
        <v>6080</v>
      </c>
      <c r="I245" s="19" t="s">
        <v>163</v>
      </c>
      <c r="J245" s="28" t="s">
        <v>90</v>
      </c>
    </row>
    <row r="246" spans="1:10" x14ac:dyDescent="0.45">
      <c r="A246" s="27" t="s">
        <v>60</v>
      </c>
      <c r="B246" s="27" t="s">
        <v>287</v>
      </c>
      <c r="C246" s="27" t="s">
        <v>103</v>
      </c>
      <c r="D246" s="27" t="s">
        <v>161</v>
      </c>
      <c r="E246" s="20" t="s">
        <v>162</v>
      </c>
      <c r="F246" s="20">
        <v>160</v>
      </c>
      <c r="G246" s="19">
        <v>38</v>
      </c>
      <c r="H246" s="19">
        <v>6080</v>
      </c>
      <c r="I246" s="19" t="s">
        <v>163</v>
      </c>
      <c r="J246" s="28" t="s">
        <v>90</v>
      </c>
    </row>
    <row r="247" spans="1:10" x14ac:dyDescent="0.45">
      <c r="A247" s="27" t="s">
        <v>60</v>
      </c>
      <c r="B247" s="27" t="s">
        <v>288</v>
      </c>
      <c r="C247" s="27" t="s">
        <v>103</v>
      </c>
      <c r="D247" s="27" t="s">
        <v>161</v>
      </c>
      <c r="E247" s="20" t="s">
        <v>162</v>
      </c>
      <c r="F247" s="20">
        <v>160</v>
      </c>
      <c r="G247" s="19">
        <v>38</v>
      </c>
      <c r="H247" s="19">
        <v>6080</v>
      </c>
      <c r="I247" s="19" t="s">
        <v>163</v>
      </c>
      <c r="J247" s="28" t="s">
        <v>90</v>
      </c>
    </row>
    <row r="248" spans="1:10" x14ac:dyDescent="0.45">
      <c r="A248" s="27" t="s">
        <v>60</v>
      </c>
      <c r="B248" s="27" t="s">
        <v>289</v>
      </c>
      <c r="C248" s="27" t="s">
        <v>103</v>
      </c>
      <c r="D248" s="27" t="s">
        <v>161</v>
      </c>
      <c r="E248" s="20" t="s">
        <v>162</v>
      </c>
      <c r="F248" s="20">
        <v>160</v>
      </c>
      <c r="G248" s="19">
        <v>39</v>
      </c>
      <c r="H248" s="19">
        <v>6240</v>
      </c>
      <c r="I248" s="19" t="s">
        <v>163</v>
      </c>
      <c r="J248" s="28" t="s">
        <v>90</v>
      </c>
    </row>
    <row r="249" spans="1:10" x14ac:dyDescent="0.45">
      <c r="A249" s="27" t="s">
        <v>60</v>
      </c>
      <c r="B249" s="27" t="s">
        <v>290</v>
      </c>
      <c r="C249" s="27" t="s">
        <v>103</v>
      </c>
      <c r="D249" s="27" t="s">
        <v>161</v>
      </c>
      <c r="E249" s="20" t="s">
        <v>162</v>
      </c>
      <c r="F249" s="20">
        <v>160</v>
      </c>
      <c r="G249" s="19">
        <v>37</v>
      </c>
      <c r="H249" s="19">
        <v>5920</v>
      </c>
      <c r="I249" s="19" t="s">
        <v>163</v>
      </c>
      <c r="J249" s="28" t="s">
        <v>90</v>
      </c>
    </row>
    <row r="250" spans="1:10" x14ac:dyDescent="0.45">
      <c r="A250" s="27" t="s">
        <v>60</v>
      </c>
      <c r="B250" s="27" t="s">
        <v>291</v>
      </c>
      <c r="C250" s="27" t="s">
        <v>103</v>
      </c>
      <c r="D250" s="27" t="s">
        <v>161</v>
      </c>
      <c r="E250" s="20" t="s">
        <v>162</v>
      </c>
      <c r="F250" s="20">
        <v>160</v>
      </c>
      <c r="G250" s="19">
        <v>37</v>
      </c>
      <c r="H250" s="19">
        <v>5920</v>
      </c>
      <c r="I250" s="19" t="s">
        <v>163</v>
      </c>
      <c r="J250" s="28" t="s">
        <v>90</v>
      </c>
    </row>
    <row r="251" spans="1:10" x14ac:dyDescent="0.45">
      <c r="A251" s="27" t="s">
        <v>60</v>
      </c>
      <c r="B251" s="27" t="s">
        <v>292</v>
      </c>
      <c r="C251" s="27" t="s">
        <v>103</v>
      </c>
      <c r="D251" s="27" t="s">
        <v>161</v>
      </c>
      <c r="E251" s="20" t="s">
        <v>162</v>
      </c>
      <c r="F251" s="20">
        <v>160</v>
      </c>
      <c r="G251" s="19">
        <v>39</v>
      </c>
      <c r="H251" s="19">
        <v>6240</v>
      </c>
      <c r="I251" s="19" t="s">
        <v>163</v>
      </c>
      <c r="J251" s="28" t="s">
        <v>90</v>
      </c>
    </row>
    <row r="252" spans="1:10" x14ac:dyDescent="0.45">
      <c r="A252" s="27" t="s">
        <v>60</v>
      </c>
      <c r="B252" s="27" t="s">
        <v>293</v>
      </c>
      <c r="C252" s="27" t="s">
        <v>103</v>
      </c>
      <c r="D252" s="27" t="s">
        <v>161</v>
      </c>
      <c r="E252" s="20" t="s">
        <v>162</v>
      </c>
      <c r="F252" s="20">
        <v>160</v>
      </c>
      <c r="G252" s="19">
        <v>39</v>
      </c>
      <c r="H252" s="19">
        <v>6240</v>
      </c>
      <c r="I252" s="19" t="s">
        <v>163</v>
      </c>
      <c r="J252" s="28" t="s">
        <v>90</v>
      </c>
    </row>
    <row r="253" spans="1:10" x14ac:dyDescent="0.45">
      <c r="A253" s="27" t="s">
        <v>60</v>
      </c>
      <c r="B253" s="27" t="s">
        <v>294</v>
      </c>
      <c r="C253" s="27" t="s">
        <v>103</v>
      </c>
      <c r="D253" s="27" t="s">
        <v>161</v>
      </c>
      <c r="E253" s="20" t="s">
        <v>162</v>
      </c>
      <c r="F253" s="20">
        <v>160</v>
      </c>
      <c r="G253" s="19">
        <v>40</v>
      </c>
      <c r="H253" s="19">
        <v>6400</v>
      </c>
      <c r="I253" s="19" t="s">
        <v>163</v>
      </c>
      <c r="J253" s="28" t="s">
        <v>90</v>
      </c>
    </row>
    <row r="254" spans="1:10" x14ac:dyDescent="0.45">
      <c r="A254" s="27" t="s">
        <v>60</v>
      </c>
      <c r="B254" s="27" t="s">
        <v>295</v>
      </c>
      <c r="C254" s="27" t="s">
        <v>103</v>
      </c>
      <c r="D254" s="27" t="s">
        <v>161</v>
      </c>
      <c r="E254" s="20" t="s">
        <v>162</v>
      </c>
      <c r="F254" s="20">
        <v>160</v>
      </c>
      <c r="G254" s="19">
        <v>39</v>
      </c>
      <c r="H254" s="19">
        <v>6240</v>
      </c>
      <c r="I254" s="19" t="s">
        <v>163</v>
      </c>
      <c r="J254" s="28" t="s">
        <v>90</v>
      </c>
    </row>
    <row r="255" spans="1:10" x14ac:dyDescent="0.45">
      <c r="A255" s="27" t="s">
        <v>60</v>
      </c>
      <c r="B255" s="27" t="s">
        <v>296</v>
      </c>
      <c r="C255" s="27" t="s">
        <v>103</v>
      </c>
      <c r="D255" s="27" t="s">
        <v>161</v>
      </c>
      <c r="E255" s="20" t="s">
        <v>162</v>
      </c>
      <c r="F255" s="20">
        <v>160</v>
      </c>
      <c r="G255" s="19">
        <v>39</v>
      </c>
      <c r="H255" s="19">
        <v>6240</v>
      </c>
      <c r="I255" s="19" t="s">
        <v>163</v>
      </c>
      <c r="J255" s="28" t="s">
        <v>90</v>
      </c>
    </row>
    <row r="256" spans="1:10" x14ac:dyDescent="0.45">
      <c r="A256" s="27" t="s">
        <v>60</v>
      </c>
      <c r="B256" s="27" t="s">
        <v>297</v>
      </c>
      <c r="C256" s="27" t="s">
        <v>103</v>
      </c>
      <c r="D256" s="27" t="s">
        <v>161</v>
      </c>
      <c r="E256" s="20" t="s">
        <v>162</v>
      </c>
      <c r="F256" s="20">
        <v>160</v>
      </c>
      <c r="G256" s="19">
        <v>40</v>
      </c>
      <c r="H256" s="19">
        <v>6400</v>
      </c>
      <c r="I256" s="19" t="s">
        <v>163</v>
      </c>
      <c r="J256" s="28" t="s">
        <v>90</v>
      </c>
    </row>
    <row r="257" spans="1:11" x14ac:dyDescent="0.45">
      <c r="A257" s="27" t="s">
        <v>60</v>
      </c>
      <c r="B257" s="27" t="s">
        <v>298</v>
      </c>
      <c r="C257" s="27" t="s">
        <v>103</v>
      </c>
      <c r="D257" s="27" t="s">
        <v>161</v>
      </c>
      <c r="E257" s="20" t="s">
        <v>162</v>
      </c>
      <c r="F257" s="20">
        <v>160</v>
      </c>
      <c r="G257" s="19">
        <v>42</v>
      </c>
      <c r="H257" s="19">
        <v>6720</v>
      </c>
      <c r="I257" s="19" t="s">
        <v>163</v>
      </c>
      <c r="J257" s="28" t="s">
        <v>90</v>
      </c>
    </row>
    <row r="258" spans="1:11" x14ac:dyDescent="0.45">
      <c r="A258" s="27" t="s">
        <v>245</v>
      </c>
      <c r="B258" s="27" t="s">
        <v>323</v>
      </c>
      <c r="C258" s="27" t="s">
        <v>103</v>
      </c>
      <c r="D258" s="27" t="s">
        <v>161</v>
      </c>
      <c r="E258" s="20" t="s">
        <v>162</v>
      </c>
      <c r="F258" s="20">
        <v>160</v>
      </c>
      <c r="G258" s="19">
        <v>16</v>
      </c>
      <c r="H258" s="19">
        <v>2560</v>
      </c>
      <c r="I258" s="19" t="s">
        <v>163</v>
      </c>
      <c r="J258" s="28" t="s">
        <v>90</v>
      </c>
    </row>
    <row r="259" spans="1:11" x14ac:dyDescent="0.45">
      <c r="A259" s="27" t="s">
        <v>245</v>
      </c>
      <c r="B259" s="27" t="s">
        <v>324</v>
      </c>
      <c r="C259" s="27" t="s">
        <v>103</v>
      </c>
      <c r="D259" s="27" t="s">
        <v>161</v>
      </c>
      <c r="E259" s="20" t="s">
        <v>162</v>
      </c>
      <c r="F259" s="20">
        <v>160</v>
      </c>
      <c r="G259" s="19">
        <v>17</v>
      </c>
      <c r="H259" s="19">
        <v>2720</v>
      </c>
      <c r="I259" s="19" t="s">
        <v>163</v>
      </c>
      <c r="J259" s="28" t="s">
        <v>90</v>
      </c>
    </row>
    <row r="260" spans="1:11" x14ac:dyDescent="0.45">
      <c r="A260" s="27" t="s">
        <v>245</v>
      </c>
      <c r="B260" s="27" t="s">
        <v>325</v>
      </c>
      <c r="C260" s="27" t="s">
        <v>103</v>
      </c>
      <c r="D260" s="27" t="s">
        <v>161</v>
      </c>
      <c r="E260" s="20" t="s">
        <v>162</v>
      </c>
      <c r="F260" s="20">
        <v>160</v>
      </c>
      <c r="G260" s="19">
        <v>16</v>
      </c>
      <c r="H260" s="19">
        <v>2560</v>
      </c>
      <c r="I260" s="19" t="s">
        <v>163</v>
      </c>
      <c r="J260" s="28" t="s">
        <v>90</v>
      </c>
    </row>
    <row r="261" spans="1:11" x14ac:dyDescent="0.45">
      <c r="A261" s="27" t="s">
        <v>245</v>
      </c>
      <c r="B261" s="27" t="s">
        <v>326</v>
      </c>
      <c r="C261" s="27" t="s">
        <v>103</v>
      </c>
      <c r="D261" s="27" t="s">
        <v>161</v>
      </c>
      <c r="E261" s="20" t="s">
        <v>162</v>
      </c>
      <c r="F261" s="20">
        <v>160</v>
      </c>
      <c r="G261" s="19">
        <v>17</v>
      </c>
      <c r="H261" s="19">
        <v>2720</v>
      </c>
      <c r="I261" s="19" t="s">
        <v>163</v>
      </c>
      <c r="J261" s="28" t="s">
        <v>90</v>
      </c>
    </row>
    <row r="262" spans="1:11" x14ac:dyDescent="0.45">
      <c r="A262" s="27" t="s">
        <v>245</v>
      </c>
      <c r="B262" s="27" t="s">
        <v>327</v>
      </c>
      <c r="C262" s="27" t="s">
        <v>103</v>
      </c>
      <c r="D262" s="27" t="s">
        <v>161</v>
      </c>
      <c r="E262" s="20" t="s">
        <v>162</v>
      </c>
      <c r="F262" s="20">
        <v>160</v>
      </c>
      <c r="G262" s="19">
        <v>20</v>
      </c>
      <c r="H262" s="19">
        <v>3200</v>
      </c>
      <c r="I262" s="19" t="s">
        <v>163</v>
      </c>
      <c r="J262" s="28" t="s">
        <v>90</v>
      </c>
    </row>
    <row r="263" spans="1:11" x14ac:dyDescent="0.45">
      <c r="A263" s="27" t="s">
        <v>245</v>
      </c>
      <c r="B263" s="27" t="s">
        <v>328</v>
      </c>
      <c r="C263" s="27" t="s">
        <v>103</v>
      </c>
      <c r="D263" s="27" t="s">
        <v>161</v>
      </c>
      <c r="E263" s="20" t="s">
        <v>162</v>
      </c>
      <c r="F263" s="20">
        <v>160</v>
      </c>
      <c r="G263" s="19">
        <v>10</v>
      </c>
      <c r="H263" s="19">
        <v>1600</v>
      </c>
      <c r="I263" s="19" t="s">
        <v>163</v>
      </c>
      <c r="J263" s="28" t="s">
        <v>90</v>
      </c>
    </row>
    <row r="264" spans="1:11" x14ac:dyDescent="0.45">
      <c r="A264" s="27" t="s">
        <v>60</v>
      </c>
      <c r="B264" s="27" t="s">
        <v>285</v>
      </c>
      <c r="C264" s="27" t="s">
        <v>103</v>
      </c>
      <c r="D264" s="27" t="s">
        <v>61</v>
      </c>
      <c r="E264" s="20" t="s">
        <v>122</v>
      </c>
      <c r="F264" s="20">
        <v>230</v>
      </c>
      <c r="G264" s="19">
        <v>40</v>
      </c>
      <c r="H264" s="19">
        <v>9200</v>
      </c>
      <c r="I264" s="19" t="s">
        <v>24</v>
      </c>
      <c r="J264" s="28" t="s">
        <v>123</v>
      </c>
      <c r="K264" s="19" t="s">
        <v>124</v>
      </c>
    </row>
    <row r="265" spans="1:11" x14ac:dyDescent="0.45">
      <c r="A265" s="27" t="s">
        <v>60</v>
      </c>
      <c r="B265" s="27" t="s">
        <v>286</v>
      </c>
      <c r="C265" s="27" t="s">
        <v>103</v>
      </c>
      <c r="D265" s="27" t="s">
        <v>61</v>
      </c>
      <c r="E265" s="20" t="s">
        <v>122</v>
      </c>
      <c r="F265" s="20">
        <v>230</v>
      </c>
      <c r="G265" s="19">
        <v>38</v>
      </c>
      <c r="H265" s="19">
        <v>8740</v>
      </c>
      <c r="I265" s="19" t="s">
        <v>24</v>
      </c>
      <c r="J265" s="28" t="s">
        <v>123</v>
      </c>
      <c r="K265" s="19" t="s">
        <v>124</v>
      </c>
    </row>
    <row r="266" spans="1:11" x14ac:dyDescent="0.45">
      <c r="A266" s="27" t="s">
        <v>60</v>
      </c>
      <c r="B266" s="27" t="s">
        <v>287</v>
      </c>
      <c r="C266" s="27" t="s">
        <v>103</v>
      </c>
      <c r="D266" s="27" t="s">
        <v>61</v>
      </c>
      <c r="E266" s="20" t="s">
        <v>122</v>
      </c>
      <c r="F266" s="20">
        <v>230</v>
      </c>
      <c r="G266" s="19">
        <v>40</v>
      </c>
      <c r="H266" s="19">
        <v>9200</v>
      </c>
      <c r="I266" s="19" t="s">
        <v>24</v>
      </c>
      <c r="J266" s="28" t="s">
        <v>123</v>
      </c>
      <c r="K266" s="19" t="s">
        <v>124</v>
      </c>
    </row>
    <row r="267" spans="1:11" x14ac:dyDescent="0.45">
      <c r="A267" s="27" t="s">
        <v>60</v>
      </c>
      <c r="B267" s="27" t="s">
        <v>288</v>
      </c>
      <c r="C267" s="27" t="s">
        <v>103</v>
      </c>
      <c r="D267" s="27" t="s">
        <v>61</v>
      </c>
      <c r="E267" s="20" t="s">
        <v>122</v>
      </c>
      <c r="F267" s="20">
        <v>230</v>
      </c>
      <c r="G267" s="19">
        <v>38</v>
      </c>
      <c r="H267" s="19">
        <v>8740</v>
      </c>
      <c r="I267" s="19" t="s">
        <v>24</v>
      </c>
      <c r="J267" s="28" t="s">
        <v>123</v>
      </c>
      <c r="K267" s="19" t="s">
        <v>124</v>
      </c>
    </row>
    <row r="268" spans="1:11" x14ac:dyDescent="0.45">
      <c r="A268" s="27" t="s">
        <v>60</v>
      </c>
      <c r="B268" s="27" t="s">
        <v>289</v>
      </c>
      <c r="C268" s="27" t="s">
        <v>103</v>
      </c>
      <c r="D268" s="27" t="s">
        <v>61</v>
      </c>
      <c r="E268" s="20" t="s">
        <v>122</v>
      </c>
      <c r="F268" s="20">
        <v>230</v>
      </c>
      <c r="G268" s="19">
        <v>39</v>
      </c>
      <c r="H268" s="19">
        <v>8970</v>
      </c>
      <c r="I268" s="19" t="s">
        <v>24</v>
      </c>
      <c r="J268" s="28" t="s">
        <v>123</v>
      </c>
      <c r="K268" s="19" t="s">
        <v>124</v>
      </c>
    </row>
    <row r="269" spans="1:11" x14ac:dyDescent="0.45">
      <c r="A269" s="27" t="s">
        <v>60</v>
      </c>
      <c r="B269" s="27" t="s">
        <v>290</v>
      </c>
      <c r="C269" s="27" t="s">
        <v>103</v>
      </c>
      <c r="D269" s="27" t="s">
        <v>61</v>
      </c>
      <c r="E269" s="20" t="s">
        <v>122</v>
      </c>
      <c r="F269" s="20">
        <v>230</v>
      </c>
      <c r="G269" s="19">
        <v>36</v>
      </c>
      <c r="H269" s="19">
        <v>8280</v>
      </c>
      <c r="I269" s="19" t="s">
        <v>24</v>
      </c>
      <c r="J269" s="28" t="s">
        <v>123</v>
      </c>
      <c r="K269" s="19" t="s">
        <v>124</v>
      </c>
    </row>
    <row r="270" spans="1:11" x14ac:dyDescent="0.45">
      <c r="A270" s="27" t="s">
        <v>60</v>
      </c>
      <c r="B270" s="27" t="s">
        <v>291</v>
      </c>
      <c r="C270" s="27" t="s">
        <v>103</v>
      </c>
      <c r="D270" s="27" t="s">
        <v>61</v>
      </c>
      <c r="E270" s="20" t="s">
        <v>122</v>
      </c>
      <c r="F270" s="20">
        <v>230</v>
      </c>
      <c r="G270" s="19">
        <v>37</v>
      </c>
      <c r="H270" s="19">
        <v>8510</v>
      </c>
      <c r="I270" s="19" t="s">
        <v>24</v>
      </c>
      <c r="J270" s="28" t="s">
        <v>123</v>
      </c>
      <c r="K270" s="19" t="s">
        <v>124</v>
      </c>
    </row>
    <row r="271" spans="1:11" x14ac:dyDescent="0.45">
      <c r="A271" s="27" t="s">
        <v>60</v>
      </c>
      <c r="B271" s="27" t="s">
        <v>292</v>
      </c>
      <c r="C271" s="27" t="s">
        <v>103</v>
      </c>
      <c r="D271" s="27" t="s">
        <v>61</v>
      </c>
      <c r="E271" s="20" t="s">
        <v>122</v>
      </c>
      <c r="F271" s="20">
        <v>230</v>
      </c>
      <c r="G271" s="19">
        <v>39</v>
      </c>
      <c r="H271" s="19">
        <v>8970</v>
      </c>
      <c r="I271" s="19" t="s">
        <v>24</v>
      </c>
      <c r="J271" s="28" t="s">
        <v>123</v>
      </c>
      <c r="K271" s="19" t="s">
        <v>124</v>
      </c>
    </row>
    <row r="272" spans="1:11" x14ac:dyDescent="0.45">
      <c r="A272" s="27" t="s">
        <v>60</v>
      </c>
      <c r="B272" s="27" t="s">
        <v>293</v>
      </c>
      <c r="C272" s="27" t="s">
        <v>103</v>
      </c>
      <c r="D272" s="27" t="s">
        <v>61</v>
      </c>
      <c r="E272" s="20" t="s">
        <v>122</v>
      </c>
      <c r="F272" s="20">
        <v>230</v>
      </c>
      <c r="G272" s="19">
        <v>39</v>
      </c>
      <c r="H272" s="19">
        <v>8970</v>
      </c>
      <c r="I272" s="19" t="s">
        <v>24</v>
      </c>
      <c r="J272" s="28" t="s">
        <v>123</v>
      </c>
      <c r="K272" s="19" t="s">
        <v>124</v>
      </c>
    </row>
    <row r="273" spans="1:11" x14ac:dyDescent="0.45">
      <c r="A273" s="27" t="s">
        <v>60</v>
      </c>
      <c r="B273" s="27" t="s">
        <v>294</v>
      </c>
      <c r="C273" s="27" t="s">
        <v>103</v>
      </c>
      <c r="D273" s="27" t="s">
        <v>61</v>
      </c>
      <c r="E273" s="20" t="s">
        <v>122</v>
      </c>
      <c r="F273" s="20">
        <v>230</v>
      </c>
      <c r="G273" s="19">
        <v>40</v>
      </c>
      <c r="H273" s="19">
        <v>9200</v>
      </c>
      <c r="I273" s="19" t="s">
        <v>24</v>
      </c>
      <c r="J273" s="28" t="s">
        <v>123</v>
      </c>
      <c r="K273" s="19" t="s">
        <v>124</v>
      </c>
    </row>
    <row r="274" spans="1:11" x14ac:dyDescent="0.45">
      <c r="A274" s="27" t="s">
        <v>60</v>
      </c>
      <c r="B274" s="27" t="s">
        <v>295</v>
      </c>
      <c r="C274" s="27" t="s">
        <v>103</v>
      </c>
      <c r="D274" s="27" t="s">
        <v>61</v>
      </c>
      <c r="E274" s="20" t="s">
        <v>122</v>
      </c>
      <c r="F274" s="20">
        <v>230</v>
      </c>
      <c r="G274" s="19">
        <v>39</v>
      </c>
      <c r="H274" s="19">
        <v>8970</v>
      </c>
      <c r="I274" s="19" t="s">
        <v>24</v>
      </c>
      <c r="J274" s="28" t="s">
        <v>123</v>
      </c>
      <c r="K274" s="19" t="s">
        <v>124</v>
      </c>
    </row>
    <row r="275" spans="1:11" x14ac:dyDescent="0.45">
      <c r="A275" s="27" t="s">
        <v>60</v>
      </c>
      <c r="B275" s="27" t="s">
        <v>296</v>
      </c>
      <c r="C275" s="27" t="s">
        <v>103</v>
      </c>
      <c r="D275" s="27" t="s">
        <v>61</v>
      </c>
      <c r="E275" s="20" t="s">
        <v>122</v>
      </c>
      <c r="F275" s="20">
        <v>230</v>
      </c>
      <c r="G275" s="19">
        <v>39</v>
      </c>
      <c r="H275" s="19">
        <v>8970</v>
      </c>
      <c r="I275" s="19" t="s">
        <v>24</v>
      </c>
      <c r="J275" s="28" t="s">
        <v>123</v>
      </c>
      <c r="K275" s="19" t="s">
        <v>124</v>
      </c>
    </row>
    <row r="276" spans="1:11" x14ac:dyDescent="0.45">
      <c r="A276" s="27" t="s">
        <v>60</v>
      </c>
      <c r="B276" s="27" t="s">
        <v>285</v>
      </c>
      <c r="C276" s="27" t="s">
        <v>103</v>
      </c>
      <c r="D276" s="27" t="s">
        <v>74</v>
      </c>
      <c r="E276" s="20" t="s">
        <v>150</v>
      </c>
      <c r="F276" s="20">
        <v>250</v>
      </c>
      <c r="G276" s="19">
        <v>40</v>
      </c>
      <c r="H276" s="19">
        <v>10000</v>
      </c>
      <c r="I276" s="19" t="s">
        <v>151</v>
      </c>
      <c r="J276" s="28" t="s">
        <v>152</v>
      </c>
      <c r="K276" s="19" t="s">
        <v>153</v>
      </c>
    </row>
    <row r="277" spans="1:11" x14ac:dyDescent="0.45">
      <c r="A277" s="27" t="s">
        <v>60</v>
      </c>
      <c r="B277" s="27" t="s">
        <v>286</v>
      </c>
      <c r="C277" s="27" t="s">
        <v>103</v>
      </c>
      <c r="D277" s="27" t="s">
        <v>74</v>
      </c>
      <c r="E277" s="20" t="s">
        <v>150</v>
      </c>
      <c r="F277" s="20">
        <v>250</v>
      </c>
      <c r="G277" s="19">
        <v>38</v>
      </c>
      <c r="H277" s="19">
        <v>9500</v>
      </c>
      <c r="I277" s="19" t="s">
        <v>151</v>
      </c>
      <c r="J277" s="28" t="s">
        <v>152</v>
      </c>
      <c r="K277" s="19" t="s">
        <v>153</v>
      </c>
    </row>
    <row r="278" spans="1:11" x14ac:dyDescent="0.45">
      <c r="A278" s="27" t="s">
        <v>60</v>
      </c>
      <c r="B278" s="27" t="s">
        <v>287</v>
      </c>
      <c r="C278" s="27" t="s">
        <v>103</v>
      </c>
      <c r="D278" s="27" t="s">
        <v>74</v>
      </c>
      <c r="E278" s="20" t="s">
        <v>150</v>
      </c>
      <c r="F278" s="20">
        <v>250</v>
      </c>
      <c r="G278" s="19">
        <v>40</v>
      </c>
      <c r="H278" s="19">
        <v>10000</v>
      </c>
      <c r="I278" s="19" t="s">
        <v>151</v>
      </c>
      <c r="J278" s="28" t="s">
        <v>152</v>
      </c>
      <c r="K278" s="19" t="s">
        <v>153</v>
      </c>
    </row>
    <row r="279" spans="1:11" x14ac:dyDescent="0.45">
      <c r="A279" s="27" t="s">
        <v>60</v>
      </c>
      <c r="B279" s="27" t="s">
        <v>288</v>
      </c>
      <c r="C279" s="27" t="s">
        <v>103</v>
      </c>
      <c r="D279" s="27" t="s">
        <v>74</v>
      </c>
      <c r="E279" s="20" t="s">
        <v>150</v>
      </c>
      <c r="F279" s="20">
        <v>250</v>
      </c>
      <c r="G279" s="19">
        <v>38</v>
      </c>
      <c r="H279" s="19">
        <v>9500</v>
      </c>
      <c r="I279" s="19" t="s">
        <v>151</v>
      </c>
      <c r="J279" s="28" t="s">
        <v>152</v>
      </c>
      <c r="K279" s="19" t="s">
        <v>153</v>
      </c>
    </row>
    <row r="280" spans="1:11" x14ac:dyDescent="0.45">
      <c r="A280" s="27" t="s">
        <v>60</v>
      </c>
      <c r="B280" s="27" t="s">
        <v>289</v>
      </c>
      <c r="C280" s="27" t="s">
        <v>103</v>
      </c>
      <c r="D280" s="27" t="s">
        <v>74</v>
      </c>
      <c r="E280" s="20" t="s">
        <v>150</v>
      </c>
      <c r="F280" s="20">
        <v>250</v>
      </c>
      <c r="G280" s="19">
        <v>39</v>
      </c>
      <c r="H280" s="19">
        <v>9750</v>
      </c>
      <c r="I280" s="19" t="s">
        <v>151</v>
      </c>
      <c r="J280" s="28" t="s">
        <v>152</v>
      </c>
      <c r="K280" s="19" t="s">
        <v>153</v>
      </c>
    </row>
    <row r="281" spans="1:11" x14ac:dyDescent="0.45">
      <c r="A281" s="27" t="s">
        <v>60</v>
      </c>
      <c r="B281" s="27" t="s">
        <v>290</v>
      </c>
      <c r="C281" s="27" t="s">
        <v>103</v>
      </c>
      <c r="D281" s="27" t="s">
        <v>74</v>
      </c>
      <c r="E281" s="20" t="s">
        <v>150</v>
      </c>
      <c r="F281" s="20">
        <v>250</v>
      </c>
      <c r="G281" s="19">
        <v>38</v>
      </c>
      <c r="H281" s="19">
        <v>9500</v>
      </c>
      <c r="I281" s="19" t="s">
        <v>151</v>
      </c>
      <c r="J281" s="28" t="s">
        <v>152</v>
      </c>
      <c r="K281" s="19" t="s">
        <v>153</v>
      </c>
    </row>
    <row r="282" spans="1:11" x14ac:dyDescent="0.45">
      <c r="A282" s="27" t="s">
        <v>60</v>
      </c>
      <c r="B282" s="27" t="s">
        <v>291</v>
      </c>
      <c r="C282" s="27" t="s">
        <v>103</v>
      </c>
      <c r="D282" s="27" t="s">
        <v>74</v>
      </c>
      <c r="E282" s="20" t="s">
        <v>150</v>
      </c>
      <c r="F282" s="20">
        <v>250</v>
      </c>
      <c r="G282" s="19">
        <v>37</v>
      </c>
      <c r="H282" s="19">
        <v>9250</v>
      </c>
      <c r="I282" s="19" t="s">
        <v>151</v>
      </c>
      <c r="J282" s="28" t="s">
        <v>152</v>
      </c>
      <c r="K282" s="19" t="s">
        <v>153</v>
      </c>
    </row>
    <row r="283" spans="1:11" x14ac:dyDescent="0.45">
      <c r="A283" s="27" t="s">
        <v>60</v>
      </c>
      <c r="B283" s="27" t="s">
        <v>292</v>
      </c>
      <c r="C283" s="27" t="s">
        <v>103</v>
      </c>
      <c r="D283" s="27" t="s">
        <v>74</v>
      </c>
      <c r="E283" s="20" t="s">
        <v>150</v>
      </c>
      <c r="F283" s="20">
        <v>250</v>
      </c>
      <c r="G283" s="19">
        <v>39</v>
      </c>
      <c r="H283" s="19">
        <v>9750</v>
      </c>
      <c r="I283" s="19" t="s">
        <v>151</v>
      </c>
      <c r="J283" s="28" t="s">
        <v>152</v>
      </c>
      <c r="K283" s="19" t="s">
        <v>153</v>
      </c>
    </row>
    <row r="284" spans="1:11" x14ac:dyDescent="0.45">
      <c r="A284" s="27" t="s">
        <v>60</v>
      </c>
      <c r="B284" s="27" t="s">
        <v>293</v>
      </c>
      <c r="C284" s="27" t="s">
        <v>103</v>
      </c>
      <c r="D284" s="27" t="s">
        <v>74</v>
      </c>
      <c r="E284" s="20" t="s">
        <v>150</v>
      </c>
      <c r="F284" s="20">
        <v>250</v>
      </c>
      <c r="G284" s="19">
        <v>39</v>
      </c>
      <c r="H284" s="19">
        <v>9750</v>
      </c>
      <c r="I284" s="19" t="s">
        <v>151</v>
      </c>
      <c r="J284" s="28" t="s">
        <v>152</v>
      </c>
      <c r="K284" s="19" t="s">
        <v>153</v>
      </c>
    </row>
    <row r="285" spans="1:11" x14ac:dyDescent="0.45">
      <c r="A285" s="27" t="s">
        <v>60</v>
      </c>
      <c r="B285" s="27" t="s">
        <v>294</v>
      </c>
      <c r="C285" s="27" t="s">
        <v>103</v>
      </c>
      <c r="D285" s="27" t="s">
        <v>74</v>
      </c>
      <c r="E285" s="20" t="s">
        <v>150</v>
      </c>
      <c r="F285" s="20">
        <v>250</v>
      </c>
      <c r="G285" s="19">
        <v>40</v>
      </c>
      <c r="H285" s="19">
        <v>10000</v>
      </c>
      <c r="I285" s="19" t="s">
        <v>151</v>
      </c>
      <c r="J285" s="28" t="s">
        <v>152</v>
      </c>
      <c r="K285" s="19" t="s">
        <v>153</v>
      </c>
    </row>
    <row r="286" spans="1:11" x14ac:dyDescent="0.45">
      <c r="A286" s="27" t="s">
        <v>60</v>
      </c>
      <c r="B286" s="27" t="s">
        <v>285</v>
      </c>
      <c r="C286" s="27" t="s">
        <v>103</v>
      </c>
      <c r="D286" s="27" t="s">
        <v>74</v>
      </c>
      <c r="E286" s="20" t="s">
        <v>141</v>
      </c>
      <c r="F286" s="20">
        <v>185</v>
      </c>
      <c r="G286" s="19">
        <v>40</v>
      </c>
      <c r="H286" s="19">
        <v>7400</v>
      </c>
      <c r="I286" s="19" t="s">
        <v>142</v>
      </c>
      <c r="J286" s="28" t="s">
        <v>143</v>
      </c>
      <c r="K286" s="19" t="s">
        <v>144</v>
      </c>
    </row>
    <row r="287" spans="1:11" x14ac:dyDescent="0.45">
      <c r="A287" s="27" t="s">
        <v>60</v>
      </c>
      <c r="B287" s="27" t="s">
        <v>286</v>
      </c>
      <c r="C287" s="27" t="s">
        <v>103</v>
      </c>
      <c r="D287" s="27" t="s">
        <v>74</v>
      </c>
      <c r="E287" s="20" t="s">
        <v>141</v>
      </c>
      <c r="F287" s="20">
        <v>185</v>
      </c>
      <c r="G287" s="19">
        <v>38</v>
      </c>
      <c r="H287" s="19">
        <v>7030</v>
      </c>
      <c r="I287" s="19" t="s">
        <v>142</v>
      </c>
      <c r="J287" s="28" t="s">
        <v>143</v>
      </c>
      <c r="K287" s="19" t="s">
        <v>144</v>
      </c>
    </row>
    <row r="288" spans="1:11" x14ac:dyDescent="0.45">
      <c r="A288" s="27" t="s">
        <v>60</v>
      </c>
      <c r="B288" s="27" t="s">
        <v>287</v>
      </c>
      <c r="C288" s="27" t="s">
        <v>103</v>
      </c>
      <c r="D288" s="27" t="s">
        <v>74</v>
      </c>
      <c r="E288" s="20" t="s">
        <v>141</v>
      </c>
      <c r="F288" s="20">
        <v>185</v>
      </c>
      <c r="G288" s="19">
        <v>40</v>
      </c>
      <c r="H288" s="19">
        <v>7400</v>
      </c>
      <c r="I288" s="19" t="s">
        <v>142</v>
      </c>
      <c r="J288" s="28" t="s">
        <v>143</v>
      </c>
      <c r="K288" s="19" t="s">
        <v>144</v>
      </c>
    </row>
    <row r="289" spans="1:11" x14ac:dyDescent="0.45">
      <c r="A289" s="27" t="s">
        <v>60</v>
      </c>
      <c r="B289" s="27" t="s">
        <v>288</v>
      </c>
      <c r="C289" s="27" t="s">
        <v>103</v>
      </c>
      <c r="D289" s="27" t="s">
        <v>74</v>
      </c>
      <c r="E289" s="20" t="s">
        <v>141</v>
      </c>
      <c r="F289" s="20">
        <v>185</v>
      </c>
      <c r="G289" s="19">
        <v>38</v>
      </c>
      <c r="H289" s="19">
        <v>7030</v>
      </c>
      <c r="I289" s="19" t="s">
        <v>142</v>
      </c>
      <c r="J289" s="28" t="s">
        <v>143</v>
      </c>
      <c r="K289" s="19" t="s">
        <v>144</v>
      </c>
    </row>
    <row r="290" spans="1:11" x14ac:dyDescent="0.45">
      <c r="A290" s="27" t="s">
        <v>60</v>
      </c>
      <c r="B290" s="27" t="s">
        <v>289</v>
      </c>
      <c r="C290" s="27" t="s">
        <v>103</v>
      </c>
      <c r="D290" s="27" t="s">
        <v>74</v>
      </c>
      <c r="E290" s="20" t="s">
        <v>141</v>
      </c>
      <c r="F290" s="20">
        <v>185</v>
      </c>
      <c r="G290" s="19">
        <v>39</v>
      </c>
      <c r="H290" s="19">
        <v>7215</v>
      </c>
      <c r="I290" s="19" t="s">
        <v>142</v>
      </c>
      <c r="J290" s="28" t="s">
        <v>143</v>
      </c>
      <c r="K290" s="19" t="s">
        <v>144</v>
      </c>
    </row>
    <row r="291" spans="1:11" x14ac:dyDescent="0.45">
      <c r="A291" s="27" t="s">
        <v>60</v>
      </c>
      <c r="B291" s="27" t="s">
        <v>290</v>
      </c>
      <c r="C291" s="27" t="s">
        <v>103</v>
      </c>
      <c r="D291" s="27" t="s">
        <v>74</v>
      </c>
      <c r="E291" s="20" t="s">
        <v>141</v>
      </c>
      <c r="F291" s="20">
        <v>185</v>
      </c>
      <c r="G291" s="19">
        <v>37</v>
      </c>
      <c r="H291" s="19">
        <v>6845</v>
      </c>
      <c r="I291" s="19" t="s">
        <v>142</v>
      </c>
      <c r="J291" s="28" t="s">
        <v>143</v>
      </c>
      <c r="K291" s="19" t="s">
        <v>144</v>
      </c>
    </row>
    <row r="292" spans="1:11" x14ac:dyDescent="0.45">
      <c r="A292" s="27" t="s">
        <v>60</v>
      </c>
      <c r="B292" s="27" t="s">
        <v>291</v>
      </c>
      <c r="C292" s="27" t="s">
        <v>103</v>
      </c>
      <c r="D292" s="27" t="s">
        <v>74</v>
      </c>
      <c r="E292" s="20" t="s">
        <v>141</v>
      </c>
      <c r="F292" s="20">
        <v>185</v>
      </c>
      <c r="G292" s="19">
        <v>37</v>
      </c>
      <c r="H292" s="19">
        <v>6845</v>
      </c>
      <c r="I292" s="19" t="s">
        <v>142</v>
      </c>
      <c r="J292" s="28" t="s">
        <v>143</v>
      </c>
      <c r="K292" s="19" t="s">
        <v>144</v>
      </c>
    </row>
    <row r="293" spans="1:11" x14ac:dyDescent="0.45">
      <c r="A293" s="27" t="s">
        <v>60</v>
      </c>
      <c r="B293" s="27" t="s">
        <v>292</v>
      </c>
      <c r="C293" s="27" t="s">
        <v>103</v>
      </c>
      <c r="D293" s="27" t="s">
        <v>74</v>
      </c>
      <c r="E293" s="20" t="s">
        <v>141</v>
      </c>
      <c r="F293" s="20">
        <v>185</v>
      </c>
      <c r="G293" s="19">
        <v>39</v>
      </c>
      <c r="H293" s="19">
        <v>7215</v>
      </c>
      <c r="I293" s="19" t="s">
        <v>142</v>
      </c>
      <c r="J293" s="28" t="s">
        <v>143</v>
      </c>
      <c r="K293" s="19" t="s">
        <v>144</v>
      </c>
    </row>
    <row r="294" spans="1:11" x14ac:dyDescent="0.45">
      <c r="A294" s="27" t="s">
        <v>60</v>
      </c>
      <c r="B294" s="27" t="s">
        <v>293</v>
      </c>
      <c r="C294" s="27" t="s">
        <v>103</v>
      </c>
      <c r="D294" s="27" t="s">
        <v>74</v>
      </c>
      <c r="E294" s="20" t="s">
        <v>141</v>
      </c>
      <c r="F294" s="20">
        <v>185</v>
      </c>
      <c r="G294" s="19">
        <v>39</v>
      </c>
      <c r="H294" s="19">
        <v>7215</v>
      </c>
      <c r="I294" s="19" t="s">
        <v>142</v>
      </c>
      <c r="J294" s="28" t="s">
        <v>143</v>
      </c>
      <c r="K294" s="19" t="s">
        <v>144</v>
      </c>
    </row>
    <row r="295" spans="1:11" x14ac:dyDescent="0.45">
      <c r="A295" s="27" t="s">
        <v>60</v>
      </c>
      <c r="B295" s="27" t="s">
        <v>294</v>
      </c>
      <c r="C295" s="27" t="s">
        <v>103</v>
      </c>
      <c r="D295" s="27" t="s">
        <v>74</v>
      </c>
      <c r="E295" s="20" t="s">
        <v>141</v>
      </c>
      <c r="F295" s="20">
        <v>185</v>
      </c>
      <c r="G295" s="19">
        <v>40</v>
      </c>
      <c r="H295" s="19">
        <v>7400</v>
      </c>
      <c r="I295" s="19" t="s">
        <v>142</v>
      </c>
      <c r="J295" s="28" t="s">
        <v>143</v>
      </c>
      <c r="K295" s="19" t="s">
        <v>144</v>
      </c>
    </row>
    <row r="296" spans="1:11" x14ac:dyDescent="0.45">
      <c r="A296" s="27" t="s">
        <v>60</v>
      </c>
      <c r="B296" s="27" t="s">
        <v>295</v>
      </c>
      <c r="C296" s="27" t="s">
        <v>103</v>
      </c>
      <c r="D296" s="27" t="s">
        <v>74</v>
      </c>
      <c r="E296" s="20" t="s">
        <v>141</v>
      </c>
      <c r="F296" s="20">
        <v>185</v>
      </c>
      <c r="G296" s="19">
        <v>39</v>
      </c>
      <c r="H296" s="19">
        <v>7215</v>
      </c>
      <c r="I296" s="19" t="s">
        <v>142</v>
      </c>
      <c r="J296" s="28" t="s">
        <v>143</v>
      </c>
      <c r="K296" s="19" t="s">
        <v>144</v>
      </c>
    </row>
    <row r="297" spans="1:11" x14ac:dyDescent="0.45">
      <c r="A297" s="27" t="s">
        <v>60</v>
      </c>
      <c r="B297" s="27" t="s">
        <v>296</v>
      </c>
      <c r="C297" s="27" t="s">
        <v>103</v>
      </c>
      <c r="D297" s="27" t="s">
        <v>74</v>
      </c>
      <c r="E297" s="20" t="s">
        <v>141</v>
      </c>
      <c r="F297" s="20">
        <v>185</v>
      </c>
      <c r="G297" s="19">
        <v>39</v>
      </c>
      <c r="H297" s="19">
        <v>7215</v>
      </c>
      <c r="I297" s="19" t="s">
        <v>142</v>
      </c>
      <c r="J297" s="28" t="s">
        <v>143</v>
      </c>
      <c r="K297" s="19" t="s">
        <v>144</v>
      </c>
    </row>
    <row r="298" spans="1:11" x14ac:dyDescent="0.45">
      <c r="A298" s="27" t="s">
        <v>60</v>
      </c>
      <c r="B298" s="27" t="s">
        <v>297</v>
      </c>
      <c r="C298" s="27" t="s">
        <v>103</v>
      </c>
      <c r="D298" s="27" t="s">
        <v>74</v>
      </c>
      <c r="E298" s="20" t="s">
        <v>141</v>
      </c>
      <c r="F298" s="20">
        <v>185</v>
      </c>
      <c r="G298" s="19">
        <v>40</v>
      </c>
      <c r="H298" s="19">
        <v>7400</v>
      </c>
      <c r="I298" s="19" t="s">
        <v>142</v>
      </c>
      <c r="J298" s="28" t="s">
        <v>143</v>
      </c>
      <c r="K298" s="19" t="s">
        <v>144</v>
      </c>
    </row>
    <row r="299" spans="1:11" x14ac:dyDescent="0.45">
      <c r="A299" s="27" t="s">
        <v>60</v>
      </c>
      <c r="B299" s="27" t="s">
        <v>298</v>
      </c>
      <c r="C299" s="27" t="s">
        <v>103</v>
      </c>
      <c r="D299" s="27" t="s">
        <v>74</v>
      </c>
      <c r="E299" s="20" t="s">
        <v>141</v>
      </c>
      <c r="F299" s="20">
        <v>185</v>
      </c>
      <c r="G299" s="19">
        <v>42</v>
      </c>
      <c r="H299" s="19">
        <v>7770</v>
      </c>
      <c r="I299" s="19" t="s">
        <v>142</v>
      </c>
      <c r="J299" s="28" t="s">
        <v>143</v>
      </c>
      <c r="K299" s="19" t="s">
        <v>144</v>
      </c>
    </row>
    <row r="300" spans="1:11" x14ac:dyDescent="0.45">
      <c r="A300" s="27" t="s">
        <v>60</v>
      </c>
      <c r="B300" s="27" t="s">
        <v>281</v>
      </c>
      <c r="C300" s="27" t="s">
        <v>103</v>
      </c>
      <c r="D300" s="27" t="s">
        <v>27</v>
      </c>
      <c r="E300" s="20" t="s">
        <v>125</v>
      </c>
      <c r="F300" s="20">
        <v>231</v>
      </c>
      <c r="G300" s="19">
        <v>30</v>
      </c>
      <c r="H300" s="19">
        <v>6930</v>
      </c>
      <c r="I300" s="19" t="s">
        <v>29</v>
      </c>
      <c r="J300" s="28" t="s">
        <v>126</v>
      </c>
      <c r="K300" s="19" t="s">
        <v>127</v>
      </c>
    </row>
    <row r="301" spans="1:11" x14ac:dyDescent="0.45">
      <c r="A301" s="27" t="s">
        <v>60</v>
      </c>
      <c r="B301" s="27" t="s">
        <v>282</v>
      </c>
      <c r="C301" s="27" t="s">
        <v>103</v>
      </c>
      <c r="D301" s="27" t="s">
        <v>27</v>
      </c>
      <c r="E301" s="20" t="s">
        <v>125</v>
      </c>
      <c r="F301" s="20">
        <v>231</v>
      </c>
      <c r="G301" s="19">
        <v>30</v>
      </c>
      <c r="H301" s="19">
        <v>6930</v>
      </c>
      <c r="I301" s="19" t="s">
        <v>29</v>
      </c>
      <c r="J301" s="28" t="s">
        <v>126</v>
      </c>
      <c r="K301" s="19" t="s">
        <v>127</v>
      </c>
    </row>
    <row r="302" spans="1:11" x14ac:dyDescent="0.45">
      <c r="A302" s="27" t="s">
        <v>60</v>
      </c>
      <c r="B302" s="27" t="s">
        <v>283</v>
      </c>
      <c r="C302" s="27" t="s">
        <v>103</v>
      </c>
      <c r="D302" s="27" t="s">
        <v>27</v>
      </c>
      <c r="E302" s="20" t="s">
        <v>125</v>
      </c>
      <c r="F302" s="20">
        <v>231</v>
      </c>
      <c r="G302" s="19">
        <v>51</v>
      </c>
      <c r="H302" s="19">
        <v>11781</v>
      </c>
      <c r="I302" s="19" t="s">
        <v>29</v>
      </c>
      <c r="J302" s="28" t="s">
        <v>126</v>
      </c>
      <c r="K302" s="19" t="s">
        <v>127</v>
      </c>
    </row>
    <row r="303" spans="1:11" x14ac:dyDescent="0.45">
      <c r="A303" s="27" t="s">
        <v>60</v>
      </c>
      <c r="B303" s="27" t="s">
        <v>284</v>
      </c>
      <c r="C303" s="27" t="s">
        <v>103</v>
      </c>
      <c r="D303" s="27" t="s">
        <v>27</v>
      </c>
      <c r="E303" s="20" t="s">
        <v>125</v>
      </c>
      <c r="F303" s="20">
        <v>231</v>
      </c>
      <c r="G303" s="19">
        <v>53</v>
      </c>
      <c r="H303" s="19">
        <v>12243</v>
      </c>
      <c r="I303" s="19" t="s">
        <v>29</v>
      </c>
      <c r="J303" s="28" t="s">
        <v>126</v>
      </c>
      <c r="K303" s="19" t="s">
        <v>127</v>
      </c>
    </row>
    <row r="304" spans="1:11" x14ac:dyDescent="0.45">
      <c r="A304" s="27" t="s">
        <v>60</v>
      </c>
      <c r="B304" s="27" t="s">
        <v>283</v>
      </c>
      <c r="C304" s="27" t="s">
        <v>103</v>
      </c>
      <c r="D304" s="27" t="s">
        <v>27</v>
      </c>
      <c r="E304" s="20" t="s">
        <v>133</v>
      </c>
      <c r="F304" s="20">
        <v>209</v>
      </c>
      <c r="G304" s="19">
        <v>51</v>
      </c>
      <c r="H304" s="19">
        <v>10659</v>
      </c>
      <c r="I304" s="19" t="s">
        <v>134</v>
      </c>
      <c r="J304" s="28" t="s">
        <v>135</v>
      </c>
      <c r="K304" s="19" t="s">
        <v>136</v>
      </c>
    </row>
    <row r="305" spans="1:11" x14ac:dyDescent="0.45">
      <c r="A305" s="27" t="s">
        <v>60</v>
      </c>
      <c r="B305" s="27" t="s">
        <v>284</v>
      </c>
      <c r="C305" s="27" t="s">
        <v>103</v>
      </c>
      <c r="D305" s="27" t="s">
        <v>27</v>
      </c>
      <c r="E305" s="20" t="s">
        <v>133</v>
      </c>
      <c r="F305" s="20">
        <v>209</v>
      </c>
      <c r="G305" s="19">
        <v>53</v>
      </c>
      <c r="H305" s="19">
        <v>11077</v>
      </c>
      <c r="I305" s="19" t="s">
        <v>134</v>
      </c>
      <c r="J305" s="28" t="s">
        <v>135</v>
      </c>
      <c r="K305" s="19" t="s">
        <v>136</v>
      </c>
    </row>
    <row r="306" spans="1:11" x14ac:dyDescent="0.45">
      <c r="A306" s="27" t="s">
        <v>60</v>
      </c>
      <c r="B306" s="27" t="s">
        <v>283</v>
      </c>
      <c r="C306" s="27" t="s">
        <v>103</v>
      </c>
      <c r="D306" s="27" t="s">
        <v>128</v>
      </c>
      <c r="E306" s="20" t="s">
        <v>129</v>
      </c>
      <c r="F306" s="20">
        <v>125</v>
      </c>
      <c r="G306" s="19">
        <v>51</v>
      </c>
      <c r="H306" s="19">
        <v>6375</v>
      </c>
      <c r="I306" s="19" t="s">
        <v>130</v>
      </c>
      <c r="J306" s="28" t="s">
        <v>131</v>
      </c>
      <c r="K306" s="19" t="s">
        <v>132</v>
      </c>
    </row>
    <row r="307" spans="1:11" x14ac:dyDescent="0.45">
      <c r="A307" s="27" t="s">
        <v>60</v>
      </c>
      <c r="B307" s="27" t="s">
        <v>284</v>
      </c>
      <c r="C307" s="27" t="s">
        <v>103</v>
      </c>
      <c r="D307" s="27" t="s">
        <v>128</v>
      </c>
      <c r="E307" s="20" t="s">
        <v>129</v>
      </c>
      <c r="F307" s="20">
        <v>125</v>
      </c>
      <c r="G307" s="19">
        <v>53</v>
      </c>
      <c r="H307" s="19">
        <v>6625</v>
      </c>
      <c r="I307" s="19" t="s">
        <v>130</v>
      </c>
      <c r="J307" s="28" t="s">
        <v>131</v>
      </c>
      <c r="K307" s="19" t="s">
        <v>132</v>
      </c>
    </row>
    <row r="308" spans="1:11" x14ac:dyDescent="0.45">
      <c r="A308" s="27" t="s">
        <v>60</v>
      </c>
      <c r="B308" s="27" t="s">
        <v>281</v>
      </c>
      <c r="C308" s="27" t="s">
        <v>103</v>
      </c>
      <c r="D308" s="27" t="s">
        <v>128</v>
      </c>
      <c r="E308" s="20" t="s">
        <v>157</v>
      </c>
      <c r="F308" s="20">
        <v>140</v>
      </c>
      <c r="G308" s="19">
        <v>30</v>
      </c>
      <c r="H308" s="19">
        <v>4200</v>
      </c>
      <c r="I308" s="19" t="s">
        <v>158</v>
      </c>
      <c r="J308" s="28" t="s">
        <v>159</v>
      </c>
      <c r="K308" s="19" t="s">
        <v>160</v>
      </c>
    </row>
    <row r="309" spans="1:11" x14ac:dyDescent="0.45">
      <c r="A309" s="27" t="s">
        <v>60</v>
      </c>
      <c r="B309" s="27" t="s">
        <v>282</v>
      </c>
      <c r="C309" s="27" t="s">
        <v>103</v>
      </c>
      <c r="D309" s="27" t="s">
        <v>128</v>
      </c>
      <c r="E309" s="20" t="s">
        <v>157</v>
      </c>
      <c r="F309" s="20">
        <v>140</v>
      </c>
      <c r="G309" s="19">
        <v>30</v>
      </c>
      <c r="H309" s="19">
        <v>4200</v>
      </c>
      <c r="I309" s="19" t="s">
        <v>158</v>
      </c>
      <c r="J309" s="28" t="s">
        <v>159</v>
      </c>
      <c r="K309" s="19" t="s">
        <v>160</v>
      </c>
    </row>
    <row r="310" spans="1:11" x14ac:dyDescent="0.45">
      <c r="A310" s="27" t="s">
        <v>60</v>
      </c>
      <c r="B310" s="27" t="s">
        <v>283</v>
      </c>
      <c r="C310" s="27" t="s">
        <v>103</v>
      </c>
      <c r="D310" s="27" t="s">
        <v>128</v>
      </c>
      <c r="E310" s="20" t="s">
        <v>157</v>
      </c>
      <c r="F310" s="20">
        <v>140</v>
      </c>
      <c r="G310" s="19">
        <v>51</v>
      </c>
      <c r="H310" s="19">
        <v>7140</v>
      </c>
      <c r="I310" s="19" t="s">
        <v>158</v>
      </c>
      <c r="J310" s="28" t="s">
        <v>159</v>
      </c>
      <c r="K310" s="19" t="s">
        <v>160</v>
      </c>
    </row>
    <row r="311" spans="1:11" x14ac:dyDescent="0.45">
      <c r="A311" s="27" t="s">
        <v>60</v>
      </c>
      <c r="B311" s="27" t="s">
        <v>284</v>
      </c>
      <c r="C311" s="27" t="s">
        <v>103</v>
      </c>
      <c r="D311" s="27" t="s">
        <v>128</v>
      </c>
      <c r="E311" s="20" t="s">
        <v>157</v>
      </c>
      <c r="F311" s="20">
        <v>140</v>
      </c>
      <c r="G311" s="19">
        <v>53</v>
      </c>
      <c r="H311" s="19">
        <v>7420</v>
      </c>
      <c r="I311" s="19" t="s">
        <v>158</v>
      </c>
      <c r="J311" s="28" t="s">
        <v>159</v>
      </c>
      <c r="K311" s="19" t="s">
        <v>160</v>
      </c>
    </row>
    <row r="312" spans="1:11" x14ac:dyDescent="0.45">
      <c r="A312" s="27" t="s">
        <v>60</v>
      </c>
      <c r="B312" s="27" t="s">
        <v>285</v>
      </c>
      <c r="C312" s="27" t="s">
        <v>103</v>
      </c>
      <c r="D312" s="27" t="s">
        <v>128</v>
      </c>
      <c r="E312" s="20" t="s">
        <v>157</v>
      </c>
      <c r="F312" s="20">
        <v>140</v>
      </c>
      <c r="G312" s="19">
        <v>40</v>
      </c>
      <c r="H312" s="19">
        <v>5600</v>
      </c>
      <c r="I312" s="19" t="s">
        <v>158</v>
      </c>
      <c r="J312" s="28" t="s">
        <v>159</v>
      </c>
      <c r="K312" s="19" t="s">
        <v>160</v>
      </c>
    </row>
    <row r="313" spans="1:11" x14ac:dyDescent="0.45">
      <c r="A313" s="27" t="s">
        <v>60</v>
      </c>
      <c r="B313" s="27" t="s">
        <v>286</v>
      </c>
      <c r="C313" s="27" t="s">
        <v>103</v>
      </c>
      <c r="D313" s="27" t="s">
        <v>128</v>
      </c>
      <c r="E313" s="20" t="s">
        <v>157</v>
      </c>
      <c r="F313" s="20">
        <v>140</v>
      </c>
      <c r="G313" s="19">
        <v>38</v>
      </c>
      <c r="H313" s="19">
        <v>5320</v>
      </c>
      <c r="I313" s="19" t="s">
        <v>158</v>
      </c>
      <c r="J313" s="28" t="s">
        <v>159</v>
      </c>
      <c r="K313" s="19" t="s">
        <v>160</v>
      </c>
    </row>
    <row r="314" spans="1:11" x14ac:dyDescent="0.45">
      <c r="A314" s="27" t="s">
        <v>60</v>
      </c>
      <c r="B314" s="27" t="s">
        <v>287</v>
      </c>
      <c r="C314" s="27" t="s">
        <v>103</v>
      </c>
      <c r="D314" s="27" t="s">
        <v>128</v>
      </c>
      <c r="E314" s="20" t="s">
        <v>157</v>
      </c>
      <c r="F314" s="20">
        <v>140</v>
      </c>
      <c r="G314" s="19">
        <v>40</v>
      </c>
      <c r="H314" s="19">
        <v>5600</v>
      </c>
      <c r="I314" s="19" t="s">
        <v>158</v>
      </c>
      <c r="J314" s="28" t="s">
        <v>159</v>
      </c>
      <c r="K314" s="19" t="s">
        <v>160</v>
      </c>
    </row>
    <row r="315" spans="1:11" x14ac:dyDescent="0.45">
      <c r="A315" s="27" t="s">
        <v>60</v>
      </c>
      <c r="B315" s="27" t="s">
        <v>288</v>
      </c>
      <c r="C315" s="27" t="s">
        <v>103</v>
      </c>
      <c r="D315" s="27" t="s">
        <v>128</v>
      </c>
      <c r="E315" s="20" t="s">
        <v>157</v>
      </c>
      <c r="F315" s="20">
        <v>140</v>
      </c>
      <c r="G315" s="19">
        <v>38</v>
      </c>
      <c r="H315" s="19">
        <v>5320</v>
      </c>
      <c r="I315" s="19" t="s">
        <v>158</v>
      </c>
      <c r="J315" s="28" t="s">
        <v>159</v>
      </c>
      <c r="K315" s="19" t="s">
        <v>160</v>
      </c>
    </row>
    <row r="316" spans="1:11" x14ac:dyDescent="0.45">
      <c r="A316" s="27" t="s">
        <v>60</v>
      </c>
      <c r="B316" s="27" t="s">
        <v>289</v>
      </c>
      <c r="C316" s="27" t="s">
        <v>103</v>
      </c>
      <c r="D316" s="27" t="s">
        <v>128</v>
      </c>
      <c r="E316" s="20" t="s">
        <v>157</v>
      </c>
      <c r="F316" s="20">
        <v>140</v>
      </c>
      <c r="G316" s="19">
        <v>39</v>
      </c>
      <c r="H316" s="19">
        <v>5460</v>
      </c>
      <c r="I316" s="19" t="s">
        <v>158</v>
      </c>
      <c r="J316" s="28" t="s">
        <v>159</v>
      </c>
      <c r="K316" s="19" t="s">
        <v>160</v>
      </c>
    </row>
    <row r="317" spans="1:11" x14ac:dyDescent="0.45">
      <c r="A317" s="27" t="s">
        <v>60</v>
      </c>
      <c r="B317" s="27" t="s">
        <v>290</v>
      </c>
      <c r="C317" s="27" t="s">
        <v>103</v>
      </c>
      <c r="D317" s="27" t="s">
        <v>128</v>
      </c>
      <c r="E317" s="20" t="s">
        <v>157</v>
      </c>
      <c r="F317" s="20">
        <v>140</v>
      </c>
      <c r="G317" s="19">
        <v>38</v>
      </c>
      <c r="H317" s="19">
        <v>5320</v>
      </c>
      <c r="I317" s="19" t="s">
        <v>158</v>
      </c>
      <c r="J317" s="28" t="s">
        <v>159</v>
      </c>
      <c r="K317" s="19" t="s">
        <v>160</v>
      </c>
    </row>
    <row r="318" spans="1:11" x14ac:dyDescent="0.45">
      <c r="A318" s="27" t="s">
        <v>60</v>
      </c>
      <c r="B318" s="27" t="s">
        <v>291</v>
      </c>
      <c r="C318" s="27" t="s">
        <v>103</v>
      </c>
      <c r="D318" s="27" t="s">
        <v>128</v>
      </c>
      <c r="E318" s="20" t="s">
        <v>157</v>
      </c>
      <c r="F318" s="20">
        <v>140</v>
      </c>
      <c r="G318" s="19">
        <v>37</v>
      </c>
      <c r="H318" s="19">
        <v>5180</v>
      </c>
      <c r="I318" s="19" t="s">
        <v>158</v>
      </c>
      <c r="J318" s="28" t="s">
        <v>159</v>
      </c>
      <c r="K318" s="19" t="s">
        <v>160</v>
      </c>
    </row>
    <row r="319" spans="1:11" x14ac:dyDescent="0.45">
      <c r="A319" s="27" t="s">
        <v>60</v>
      </c>
      <c r="B319" s="27" t="s">
        <v>292</v>
      </c>
      <c r="C319" s="27" t="s">
        <v>103</v>
      </c>
      <c r="D319" s="27" t="s">
        <v>128</v>
      </c>
      <c r="E319" s="20" t="s">
        <v>157</v>
      </c>
      <c r="F319" s="20">
        <v>140</v>
      </c>
      <c r="G319" s="19">
        <v>39</v>
      </c>
      <c r="H319" s="19">
        <v>5460</v>
      </c>
      <c r="I319" s="19" t="s">
        <v>158</v>
      </c>
      <c r="J319" s="28" t="s">
        <v>159</v>
      </c>
      <c r="K319" s="19" t="s">
        <v>160</v>
      </c>
    </row>
    <row r="320" spans="1:11" x14ac:dyDescent="0.45">
      <c r="A320" s="27" t="s">
        <v>60</v>
      </c>
      <c r="B320" s="27" t="s">
        <v>293</v>
      </c>
      <c r="C320" s="27" t="s">
        <v>103</v>
      </c>
      <c r="D320" s="27" t="s">
        <v>128</v>
      </c>
      <c r="E320" s="20" t="s">
        <v>157</v>
      </c>
      <c r="F320" s="20">
        <v>140</v>
      </c>
      <c r="G320" s="19">
        <v>39</v>
      </c>
      <c r="H320" s="19">
        <v>5460</v>
      </c>
      <c r="I320" s="19" t="s">
        <v>158</v>
      </c>
      <c r="J320" s="28" t="s">
        <v>159</v>
      </c>
      <c r="K320" s="19" t="s">
        <v>160</v>
      </c>
    </row>
    <row r="321" spans="1:11" x14ac:dyDescent="0.45">
      <c r="A321" s="27" t="s">
        <v>60</v>
      </c>
      <c r="B321" s="27" t="s">
        <v>294</v>
      </c>
      <c r="C321" s="27" t="s">
        <v>103</v>
      </c>
      <c r="D321" s="27" t="s">
        <v>128</v>
      </c>
      <c r="E321" s="20" t="s">
        <v>157</v>
      </c>
      <c r="F321" s="20">
        <v>140</v>
      </c>
      <c r="G321" s="19">
        <v>40</v>
      </c>
      <c r="H321" s="19">
        <v>5600</v>
      </c>
      <c r="I321" s="19" t="s">
        <v>158</v>
      </c>
      <c r="J321" s="28" t="s">
        <v>159</v>
      </c>
      <c r="K321" s="19" t="s">
        <v>160</v>
      </c>
    </row>
    <row r="322" spans="1:11" x14ac:dyDescent="0.45">
      <c r="A322" s="27" t="s">
        <v>60</v>
      </c>
      <c r="B322" s="27" t="s">
        <v>295</v>
      </c>
      <c r="C322" s="27" t="s">
        <v>103</v>
      </c>
      <c r="D322" s="27" t="s">
        <v>128</v>
      </c>
      <c r="E322" s="20" t="s">
        <v>157</v>
      </c>
      <c r="F322" s="20">
        <v>140</v>
      </c>
      <c r="G322" s="19">
        <v>39</v>
      </c>
      <c r="H322" s="19">
        <v>5460</v>
      </c>
      <c r="I322" s="19" t="s">
        <v>158</v>
      </c>
      <c r="J322" s="28" t="s">
        <v>159</v>
      </c>
      <c r="K322" s="19" t="s">
        <v>160</v>
      </c>
    </row>
    <row r="323" spans="1:11" x14ac:dyDescent="0.45">
      <c r="A323" s="27" t="s">
        <v>60</v>
      </c>
      <c r="B323" s="27" t="s">
        <v>296</v>
      </c>
      <c r="C323" s="27" t="s">
        <v>103</v>
      </c>
      <c r="D323" s="27" t="s">
        <v>128</v>
      </c>
      <c r="E323" s="20" t="s">
        <v>157</v>
      </c>
      <c r="F323" s="20">
        <v>140</v>
      </c>
      <c r="G323" s="19">
        <v>39</v>
      </c>
      <c r="H323" s="19">
        <v>5460</v>
      </c>
      <c r="I323" s="19" t="s">
        <v>158</v>
      </c>
      <c r="J323" s="28" t="s">
        <v>159</v>
      </c>
      <c r="K323" s="19" t="s">
        <v>160</v>
      </c>
    </row>
    <row r="324" spans="1:11" x14ac:dyDescent="0.45">
      <c r="A324" s="27" t="s">
        <v>60</v>
      </c>
      <c r="B324" s="27" t="s">
        <v>297</v>
      </c>
      <c r="C324" s="27" t="s">
        <v>103</v>
      </c>
      <c r="D324" s="27" t="s">
        <v>128</v>
      </c>
      <c r="E324" s="20" t="s">
        <v>157</v>
      </c>
      <c r="F324" s="20">
        <v>140</v>
      </c>
      <c r="G324" s="19">
        <v>40</v>
      </c>
      <c r="H324" s="19">
        <v>5600</v>
      </c>
      <c r="I324" s="19" t="s">
        <v>158</v>
      </c>
      <c r="J324" s="28" t="s">
        <v>159</v>
      </c>
      <c r="K324" s="19" t="s">
        <v>160</v>
      </c>
    </row>
    <row r="325" spans="1:11" x14ac:dyDescent="0.45">
      <c r="A325" s="27" t="s">
        <v>60</v>
      </c>
      <c r="B325" s="27" t="s">
        <v>298</v>
      </c>
      <c r="C325" s="27" t="s">
        <v>103</v>
      </c>
      <c r="D325" s="27" t="s">
        <v>128</v>
      </c>
      <c r="E325" s="20" t="s">
        <v>157</v>
      </c>
      <c r="F325" s="20">
        <v>140</v>
      </c>
      <c r="G325" s="19">
        <v>42</v>
      </c>
      <c r="H325" s="19">
        <v>5880</v>
      </c>
      <c r="I325" s="19" t="s">
        <v>158</v>
      </c>
      <c r="J325" s="28" t="s">
        <v>159</v>
      </c>
      <c r="K325" s="19" t="s">
        <v>160</v>
      </c>
    </row>
    <row r="326" spans="1:11" x14ac:dyDescent="0.45">
      <c r="A326" s="27" t="s">
        <v>60</v>
      </c>
      <c r="B326" s="27" t="s">
        <v>285</v>
      </c>
      <c r="C326" s="27" t="s">
        <v>103</v>
      </c>
      <c r="D326" s="27" t="s">
        <v>78</v>
      </c>
      <c r="E326" s="20" t="s">
        <v>145</v>
      </c>
      <c r="F326" s="20">
        <v>230</v>
      </c>
      <c r="G326" s="19">
        <v>40</v>
      </c>
      <c r="H326" s="19">
        <v>9200</v>
      </c>
      <c r="I326" s="19" t="s">
        <v>146</v>
      </c>
      <c r="J326" s="28" t="s">
        <v>90</v>
      </c>
    </row>
    <row r="327" spans="1:11" x14ac:dyDescent="0.45">
      <c r="A327" s="27" t="s">
        <v>60</v>
      </c>
      <c r="B327" s="27" t="s">
        <v>286</v>
      </c>
      <c r="C327" s="27" t="s">
        <v>103</v>
      </c>
      <c r="D327" s="27" t="s">
        <v>78</v>
      </c>
      <c r="E327" s="20" t="s">
        <v>145</v>
      </c>
      <c r="F327" s="20">
        <v>230</v>
      </c>
      <c r="G327" s="19">
        <v>38</v>
      </c>
      <c r="H327" s="19">
        <v>8740</v>
      </c>
      <c r="I327" s="19" t="s">
        <v>146</v>
      </c>
      <c r="J327" s="28" t="s">
        <v>90</v>
      </c>
    </row>
    <row r="328" spans="1:11" x14ac:dyDescent="0.45">
      <c r="A328" s="27" t="s">
        <v>60</v>
      </c>
      <c r="B328" s="27" t="s">
        <v>287</v>
      </c>
      <c r="C328" s="27" t="s">
        <v>103</v>
      </c>
      <c r="D328" s="27" t="s">
        <v>78</v>
      </c>
      <c r="E328" s="20" t="s">
        <v>145</v>
      </c>
      <c r="F328" s="20">
        <v>230</v>
      </c>
      <c r="G328" s="19">
        <v>39</v>
      </c>
      <c r="H328" s="19">
        <v>8970</v>
      </c>
      <c r="I328" s="19" t="s">
        <v>146</v>
      </c>
      <c r="J328" s="28" t="s">
        <v>90</v>
      </c>
    </row>
    <row r="329" spans="1:11" x14ac:dyDescent="0.45">
      <c r="A329" s="27" t="s">
        <v>60</v>
      </c>
      <c r="B329" s="27" t="s">
        <v>288</v>
      </c>
      <c r="C329" s="27" t="s">
        <v>103</v>
      </c>
      <c r="D329" s="27" t="s">
        <v>78</v>
      </c>
      <c r="E329" s="20" t="s">
        <v>145</v>
      </c>
      <c r="F329" s="20">
        <v>230</v>
      </c>
      <c r="G329" s="19">
        <v>38</v>
      </c>
      <c r="H329" s="19">
        <v>8740</v>
      </c>
      <c r="I329" s="19" t="s">
        <v>146</v>
      </c>
      <c r="J329" s="28" t="s">
        <v>90</v>
      </c>
    </row>
    <row r="330" spans="1:11" x14ac:dyDescent="0.45">
      <c r="A330" s="27" t="s">
        <v>245</v>
      </c>
      <c r="B330" s="27" t="s">
        <v>323</v>
      </c>
      <c r="C330" s="27" t="s">
        <v>103</v>
      </c>
      <c r="D330" s="27" t="s">
        <v>78</v>
      </c>
      <c r="E330" s="20" t="s">
        <v>228</v>
      </c>
      <c r="F330" s="20">
        <v>230</v>
      </c>
      <c r="G330" s="19">
        <v>16</v>
      </c>
      <c r="H330" s="19">
        <v>3680</v>
      </c>
      <c r="I330" s="19" t="s">
        <v>229</v>
      </c>
      <c r="J330" s="28" t="s">
        <v>230</v>
      </c>
      <c r="K330" s="19" t="s">
        <v>231</v>
      </c>
    </row>
    <row r="331" spans="1:11" x14ac:dyDescent="0.45">
      <c r="A331" s="27" t="s">
        <v>245</v>
      </c>
      <c r="B331" s="27" t="s">
        <v>324</v>
      </c>
      <c r="C331" s="27" t="s">
        <v>103</v>
      </c>
      <c r="D331" s="27" t="s">
        <v>78</v>
      </c>
      <c r="E331" s="20" t="s">
        <v>228</v>
      </c>
      <c r="F331" s="20">
        <v>230</v>
      </c>
      <c r="G331" s="19">
        <v>17</v>
      </c>
      <c r="H331" s="19">
        <v>3910</v>
      </c>
      <c r="I331" s="19" t="s">
        <v>229</v>
      </c>
      <c r="J331" s="28" t="s">
        <v>230</v>
      </c>
      <c r="K331" s="19" t="s">
        <v>231</v>
      </c>
    </row>
    <row r="332" spans="1:11" x14ac:dyDescent="0.45">
      <c r="A332" s="27" t="s">
        <v>245</v>
      </c>
      <c r="B332" s="27" t="s">
        <v>325</v>
      </c>
      <c r="C332" s="27" t="s">
        <v>103</v>
      </c>
      <c r="D332" s="27" t="s">
        <v>78</v>
      </c>
      <c r="E332" s="20" t="s">
        <v>228</v>
      </c>
      <c r="F332" s="20">
        <v>230</v>
      </c>
      <c r="G332" s="19">
        <v>16</v>
      </c>
      <c r="H332" s="19">
        <v>3680</v>
      </c>
      <c r="I332" s="19" t="s">
        <v>229</v>
      </c>
      <c r="J332" s="28" t="s">
        <v>230</v>
      </c>
      <c r="K332" s="19" t="s">
        <v>231</v>
      </c>
    </row>
    <row r="333" spans="1:11" x14ac:dyDescent="0.45">
      <c r="A333" s="27" t="s">
        <v>245</v>
      </c>
      <c r="B333" s="27" t="s">
        <v>326</v>
      </c>
      <c r="C333" s="27" t="s">
        <v>103</v>
      </c>
      <c r="D333" s="27" t="s">
        <v>78</v>
      </c>
      <c r="E333" s="20" t="s">
        <v>228</v>
      </c>
      <c r="F333" s="20">
        <v>230</v>
      </c>
      <c r="G333" s="19">
        <v>17</v>
      </c>
      <c r="H333" s="19">
        <v>3910</v>
      </c>
      <c r="I333" s="19" t="s">
        <v>229</v>
      </c>
      <c r="J333" s="28" t="s">
        <v>230</v>
      </c>
      <c r="K333" s="19" t="s">
        <v>231</v>
      </c>
    </row>
    <row r="334" spans="1:11" x14ac:dyDescent="0.45">
      <c r="A334" s="27" t="s">
        <v>245</v>
      </c>
      <c r="B334" s="27" t="s">
        <v>327</v>
      </c>
      <c r="C334" s="27" t="s">
        <v>103</v>
      </c>
      <c r="D334" s="27" t="s">
        <v>78</v>
      </c>
      <c r="E334" s="20" t="s">
        <v>228</v>
      </c>
      <c r="F334" s="20">
        <v>230</v>
      </c>
      <c r="G334" s="19">
        <v>20</v>
      </c>
      <c r="H334" s="19">
        <v>4600</v>
      </c>
      <c r="I334" s="19" t="s">
        <v>229</v>
      </c>
      <c r="J334" s="28" t="s">
        <v>230</v>
      </c>
      <c r="K334" s="19" t="s">
        <v>231</v>
      </c>
    </row>
    <row r="335" spans="1:11" x14ac:dyDescent="0.45">
      <c r="A335" s="27" t="s">
        <v>245</v>
      </c>
      <c r="B335" s="27" t="s">
        <v>328</v>
      </c>
      <c r="C335" s="27" t="s">
        <v>103</v>
      </c>
      <c r="D335" s="27" t="s">
        <v>78</v>
      </c>
      <c r="E335" s="20" t="s">
        <v>228</v>
      </c>
      <c r="F335" s="20">
        <v>230</v>
      </c>
      <c r="G335" s="19">
        <v>10</v>
      </c>
      <c r="H335" s="19">
        <v>2300</v>
      </c>
      <c r="I335" s="19" t="s">
        <v>229</v>
      </c>
      <c r="J335" s="28" t="s">
        <v>230</v>
      </c>
      <c r="K335" s="19" t="s">
        <v>231</v>
      </c>
    </row>
    <row r="336" spans="1:11" x14ac:dyDescent="0.45">
      <c r="A336" s="27" t="s">
        <v>60</v>
      </c>
      <c r="B336" s="27" t="s">
        <v>285</v>
      </c>
      <c r="C336" s="27" t="s">
        <v>103</v>
      </c>
      <c r="D336" s="27" t="s">
        <v>78</v>
      </c>
      <c r="E336" s="20" t="s">
        <v>147</v>
      </c>
      <c r="F336" s="20">
        <v>335</v>
      </c>
      <c r="G336" s="19">
        <v>40</v>
      </c>
      <c r="H336" s="19">
        <v>13400</v>
      </c>
      <c r="I336" s="19" t="s">
        <v>148</v>
      </c>
      <c r="J336" s="28" t="s">
        <v>149</v>
      </c>
    </row>
    <row r="337" spans="1:11" x14ac:dyDescent="0.45">
      <c r="A337" s="27" t="s">
        <v>60</v>
      </c>
      <c r="B337" s="27" t="s">
        <v>286</v>
      </c>
      <c r="C337" s="27" t="s">
        <v>103</v>
      </c>
      <c r="D337" s="27" t="s">
        <v>78</v>
      </c>
      <c r="E337" s="20" t="s">
        <v>147</v>
      </c>
      <c r="F337" s="20">
        <v>335</v>
      </c>
      <c r="G337" s="19">
        <v>38</v>
      </c>
      <c r="H337" s="19">
        <v>12730</v>
      </c>
      <c r="I337" s="19" t="s">
        <v>148</v>
      </c>
      <c r="J337" s="28" t="s">
        <v>149</v>
      </c>
    </row>
    <row r="338" spans="1:11" x14ac:dyDescent="0.45">
      <c r="A338" s="27" t="s">
        <v>60</v>
      </c>
      <c r="B338" s="27" t="s">
        <v>287</v>
      </c>
      <c r="C338" s="27" t="s">
        <v>103</v>
      </c>
      <c r="D338" s="27" t="s">
        <v>78</v>
      </c>
      <c r="E338" s="20" t="s">
        <v>147</v>
      </c>
      <c r="F338" s="20">
        <v>335</v>
      </c>
      <c r="G338" s="19">
        <v>39</v>
      </c>
      <c r="H338" s="19">
        <v>13065</v>
      </c>
      <c r="I338" s="19" t="s">
        <v>148</v>
      </c>
      <c r="J338" s="28" t="s">
        <v>149</v>
      </c>
    </row>
    <row r="339" spans="1:11" x14ac:dyDescent="0.45">
      <c r="A339" s="27" t="s">
        <v>60</v>
      </c>
      <c r="B339" s="27" t="s">
        <v>288</v>
      </c>
      <c r="C339" s="27" t="s">
        <v>103</v>
      </c>
      <c r="D339" s="27" t="s">
        <v>78</v>
      </c>
      <c r="E339" s="20" t="s">
        <v>147</v>
      </c>
      <c r="F339" s="20">
        <v>335</v>
      </c>
      <c r="G339" s="19">
        <v>38</v>
      </c>
      <c r="H339" s="19">
        <v>12730</v>
      </c>
      <c r="I339" s="19" t="s">
        <v>148</v>
      </c>
      <c r="J339" s="28" t="s">
        <v>149</v>
      </c>
    </row>
    <row r="340" spans="1:11" x14ac:dyDescent="0.45">
      <c r="A340" s="27" t="s">
        <v>60</v>
      </c>
      <c r="B340" s="27" t="s">
        <v>289</v>
      </c>
      <c r="C340" s="27" t="s">
        <v>103</v>
      </c>
      <c r="D340" s="27" t="s">
        <v>78</v>
      </c>
      <c r="E340" s="20" t="s">
        <v>147</v>
      </c>
      <c r="F340" s="20">
        <v>335</v>
      </c>
      <c r="G340" s="19">
        <v>39</v>
      </c>
      <c r="H340" s="19">
        <v>13065</v>
      </c>
      <c r="I340" s="19" t="s">
        <v>148</v>
      </c>
      <c r="J340" s="28" t="s">
        <v>149</v>
      </c>
    </row>
    <row r="341" spans="1:11" x14ac:dyDescent="0.45">
      <c r="A341" s="27" t="s">
        <v>60</v>
      </c>
      <c r="B341" s="27" t="s">
        <v>290</v>
      </c>
      <c r="C341" s="27" t="s">
        <v>103</v>
      </c>
      <c r="D341" s="27" t="s">
        <v>78</v>
      </c>
      <c r="E341" s="20" t="s">
        <v>147</v>
      </c>
      <c r="F341" s="20">
        <v>335</v>
      </c>
      <c r="G341" s="19">
        <v>36</v>
      </c>
      <c r="H341" s="19">
        <v>12060</v>
      </c>
      <c r="I341" s="19" t="s">
        <v>148</v>
      </c>
      <c r="J341" s="28" t="s">
        <v>149</v>
      </c>
    </row>
    <row r="342" spans="1:11" x14ac:dyDescent="0.45">
      <c r="A342" s="27" t="s">
        <v>60</v>
      </c>
      <c r="B342" s="27" t="s">
        <v>291</v>
      </c>
      <c r="C342" s="27" t="s">
        <v>103</v>
      </c>
      <c r="D342" s="27" t="s">
        <v>78</v>
      </c>
      <c r="E342" s="20" t="s">
        <v>147</v>
      </c>
      <c r="F342" s="20">
        <v>335</v>
      </c>
      <c r="G342" s="19">
        <v>37</v>
      </c>
      <c r="H342" s="19">
        <v>12395</v>
      </c>
      <c r="I342" s="19" t="s">
        <v>148</v>
      </c>
      <c r="J342" s="28" t="s">
        <v>149</v>
      </c>
    </row>
    <row r="343" spans="1:11" x14ac:dyDescent="0.45">
      <c r="A343" s="27" t="s">
        <v>60</v>
      </c>
      <c r="B343" s="27" t="s">
        <v>292</v>
      </c>
      <c r="C343" s="27" t="s">
        <v>103</v>
      </c>
      <c r="D343" s="27" t="s">
        <v>78</v>
      </c>
      <c r="E343" s="20" t="s">
        <v>147</v>
      </c>
      <c r="F343" s="20">
        <v>335</v>
      </c>
      <c r="G343" s="19">
        <v>39</v>
      </c>
      <c r="H343" s="19">
        <v>13065</v>
      </c>
      <c r="I343" s="19" t="s">
        <v>148</v>
      </c>
      <c r="J343" s="28" t="s">
        <v>149</v>
      </c>
    </row>
    <row r="344" spans="1:11" x14ac:dyDescent="0.45">
      <c r="A344" s="27" t="s">
        <v>60</v>
      </c>
      <c r="B344" s="27" t="s">
        <v>285</v>
      </c>
      <c r="C344" s="27" t="s">
        <v>103</v>
      </c>
      <c r="D344" s="27" t="s">
        <v>93</v>
      </c>
      <c r="E344" s="20" t="s">
        <v>154</v>
      </c>
      <c r="F344" s="20">
        <v>278</v>
      </c>
      <c r="G344" s="19">
        <v>40</v>
      </c>
      <c r="H344" s="19">
        <v>11120</v>
      </c>
      <c r="I344" s="19" t="s">
        <v>95</v>
      </c>
      <c r="J344" s="28" t="s">
        <v>155</v>
      </c>
      <c r="K344" s="19" t="s">
        <v>156</v>
      </c>
    </row>
    <row r="345" spans="1:11" x14ac:dyDescent="0.45">
      <c r="A345" s="27" t="s">
        <v>60</v>
      </c>
      <c r="B345" s="27" t="s">
        <v>286</v>
      </c>
      <c r="C345" s="27" t="s">
        <v>103</v>
      </c>
      <c r="D345" s="27" t="s">
        <v>93</v>
      </c>
      <c r="E345" s="20" t="s">
        <v>154</v>
      </c>
      <c r="F345" s="20">
        <v>278</v>
      </c>
      <c r="G345" s="19">
        <v>38</v>
      </c>
      <c r="H345" s="19">
        <v>10564</v>
      </c>
      <c r="I345" s="19" t="s">
        <v>95</v>
      </c>
      <c r="J345" s="28" t="s">
        <v>155</v>
      </c>
      <c r="K345" s="19" t="s">
        <v>156</v>
      </c>
    </row>
    <row r="346" spans="1:11" x14ac:dyDescent="0.45">
      <c r="A346" s="27" t="s">
        <v>60</v>
      </c>
      <c r="B346" s="27" t="s">
        <v>287</v>
      </c>
      <c r="C346" s="27" t="s">
        <v>103</v>
      </c>
      <c r="D346" s="27" t="s">
        <v>93</v>
      </c>
      <c r="E346" s="20" t="s">
        <v>154</v>
      </c>
      <c r="F346" s="20">
        <v>278</v>
      </c>
      <c r="G346" s="19">
        <v>40</v>
      </c>
      <c r="H346" s="19">
        <v>11120</v>
      </c>
      <c r="I346" s="19" t="s">
        <v>95</v>
      </c>
      <c r="J346" s="28" t="s">
        <v>155</v>
      </c>
      <c r="K346" s="19" t="s">
        <v>156</v>
      </c>
    </row>
    <row r="347" spans="1:11" x14ac:dyDescent="0.45">
      <c r="A347" s="27" t="s">
        <v>60</v>
      </c>
      <c r="B347" s="27" t="s">
        <v>288</v>
      </c>
      <c r="C347" s="27" t="s">
        <v>103</v>
      </c>
      <c r="D347" s="27" t="s">
        <v>93</v>
      </c>
      <c r="E347" s="20" t="s">
        <v>154</v>
      </c>
      <c r="F347" s="20">
        <v>278</v>
      </c>
      <c r="G347" s="19">
        <v>38</v>
      </c>
      <c r="H347" s="19">
        <v>10564</v>
      </c>
      <c r="I347" s="19" t="s">
        <v>95</v>
      </c>
      <c r="J347" s="28" t="s">
        <v>155</v>
      </c>
      <c r="K347" s="19" t="s">
        <v>156</v>
      </c>
    </row>
    <row r="348" spans="1:11" x14ac:dyDescent="0.45">
      <c r="A348" s="27" t="s">
        <v>60</v>
      </c>
      <c r="B348" s="27" t="s">
        <v>289</v>
      </c>
      <c r="C348" s="27" t="s">
        <v>103</v>
      </c>
      <c r="D348" s="27" t="s">
        <v>93</v>
      </c>
      <c r="E348" s="20" t="s">
        <v>154</v>
      </c>
      <c r="F348" s="20">
        <v>278</v>
      </c>
      <c r="G348" s="19">
        <v>39</v>
      </c>
      <c r="H348" s="19">
        <v>10842</v>
      </c>
      <c r="I348" s="19" t="s">
        <v>95</v>
      </c>
      <c r="J348" s="28" t="s">
        <v>155</v>
      </c>
      <c r="K348" s="19" t="s">
        <v>156</v>
      </c>
    </row>
    <row r="349" spans="1:11" x14ac:dyDescent="0.45">
      <c r="A349" s="27" t="s">
        <v>60</v>
      </c>
      <c r="B349" s="27" t="s">
        <v>290</v>
      </c>
      <c r="C349" s="27" t="s">
        <v>103</v>
      </c>
      <c r="D349" s="27" t="s">
        <v>93</v>
      </c>
      <c r="E349" s="20" t="s">
        <v>154</v>
      </c>
      <c r="F349" s="20">
        <v>278</v>
      </c>
      <c r="G349" s="19">
        <v>37</v>
      </c>
      <c r="H349" s="19">
        <v>10286</v>
      </c>
      <c r="I349" s="19" t="s">
        <v>95</v>
      </c>
      <c r="J349" s="28" t="s">
        <v>155</v>
      </c>
      <c r="K349" s="19" t="s">
        <v>156</v>
      </c>
    </row>
    <row r="350" spans="1:11" x14ac:dyDescent="0.45">
      <c r="A350" s="27" t="s">
        <v>60</v>
      </c>
      <c r="B350" s="27" t="s">
        <v>291</v>
      </c>
      <c r="C350" s="27" t="s">
        <v>103</v>
      </c>
      <c r="D350" s="27" t="s">
        <v>93</v>
      </c>
      <c r="E350" s="20" t="s">
        <v>154</v>
      </c>
      <c r="F350" s="20">
        <v>278</v>
      </c>
      <c r="G350" s="19">
        <v>37</v>
      </c>
      <c r="H350" s="19">
        <v>10286</v>
      </c>
      <c r="I350" s="19" t="s">
        <v>95</v>
      </c>
      <c r="J350" s="28" t="s">
        <v>155</v>
      </c>
      <c r="K350" s="19" t="s">
        <v>156</v>
      </c>
    </row>
    <row r="351" spans="1:11" x14ac:dyDescent="0.45">
      <c r="A351" s="27" t="s">
        <v>60</v>
      </c>
      <c r="B351" s="27" t="s">
        <v>292</v>
      </c>
      <c r="C351" s="27" t="s">
        <v>103</v>
      </c>
      <c r="D351" s="27" t="s">
        <v>93</v>
      </c>
      <c r="E351" s="20" t="s">
        <v>154</v>
      </c>
      <c r="F351" s="20">
        <v>278</v>
      </c>
      <c r="G351" s="19">
        <v>39</v>
      </c>
      <c r="H351" s="19">
        <v>10842</v>
      </c>
      <c r="I351" s="19" t="s">
        <v>95</v>
      </c>
      <c r="J351" s="28" t="s">
        <v>155</v>
      </c>
      <c r="K351" s="19" t="s">
        <v>156</v>
      </c>
    </row>
    <row r="352" spans="1:11" x14ac:dyDescent="0.45">
      <c r="A352" s="27" t="s">
        <v>60</v>
      </c>
      <c r="B352" s="27" t="s">
        <v>293</v>
      </c>
      <c r="C352" s="27" t="s">
        <v>103</v>
      </c>
      <c r="D352" s="27" t="s">
        <v>93</v>
      </c>
      <c r="E352" s="20" t="s">
        <v>154</v>
      </c>
      <c r="F352" s="20">
        <v>278</v>
      </c>
      <c r="G352" s="19">
        <v>39</v>
      </c>
      <c r="H352" s="19">
        <v>10842</v>
      </c>
      <c r="I352" s="19" t="s">
        <v>95</v>
      </c>
      <c r="J352" s="28" t="s">
        <v>155</v>
      </c>
      <c r="K352" s="19" t="s">
        <v>156</v>
      </c>
    </row>
    <row r="353" spans="1:11" x14ac:dyDescent="0.45">
      <c r="A353" s="27" t="s">
        <v>60</v>
      </c>
      <c r="B353" s="27" t="s">
        <v>294</v>
      </c>
      <c r="C353" s="27" t="s">
        <v>103</v>
      </c>
      <c r="D353" s="27" t="s">
        <v>93</v>
      </c>
      <c r="E353" s="20" t="s">
        <v>154</v>
      </c>
      <c r="F353" s="20">
        <v>278</v>
      </c>
      <c r="G353" s="19">
        <v>40</v>
      </c>
      <c r="H353" s="19">
        <v>11120</v>
      </c>
      <c r="I353" s="19" t="s">
        <v>95</v>
      </c>
      <c r="J353" s="28" t="s">
        <v>155</v>
      </c>
      <c r="K353" s="19" t="s">
        <v>156</v>
      </c>
    </row>
    <row r="354" spans="1:11" x14ac:dyDescent="0.45">
      <c r="A354" s="27" t="s">
        <v>60</v>
      </c>
      <c r="B354" s="27" t="s">
        <v>297</v>
      </c>
      <c r="C354" s="27" t="s">
        <v>103</v>
      </c>
      <c r="D354" s="27" t="s">
        <v>93</v>
      </c>
      <c r="E354" s="20" t="s">
        <v>154</v>
      </c>
      <c r="F354" s="20">
        <v>278</v>
      </c>
      <c r="G354" s="19">
        <v>40</v>
      </c>
      <c r="H354" s="19">
        <v>11120</v>
      </c>
      <c r="I354" s="19" t="s">
        <v>95</v>
      </c>
      <c r="J354" s="28" t="s">
        <v>155</v>
      </c>
      <c r="K354" s="19" t="s">
        <v>156</v>
      </c>
    </row>
    <row r="355" spans="1:11" x14ac:dyDescent="0.45">
      <c r="A355" s="27" t="s">
        <v>60</v>
      </c>
      <c r="B355" s="27" t="s">
        <v>298</v>
      </c>
      <c r="C355" s="27" t="s">
        <v>103</v>
      </c>
      <c r="D355" s="27" t="s">
        <v>93</v>
      </c>
      <c r="E355" s="20" t="s">
        <v>154</v>
      </c>
      <c r="F355" s="20">
        <v>278</v>
      </c>
      <c r="G355" s="19">
        <v>42</v>
      </c>
      <c r="H355" s="19">
        <v>11676</v>
      </c>
      <c r="I355" s="19" t="s">
        <v>95</v>
      </c>
      <c r="J355" s="28" t="s">
        <v>155</v>
      </c>
      <c r="K355" s="19" t="s">
        <v>156</v>
      </c>
    </row>
    <row r="356" spans="1:11" x14ac:dyDescent="0.45">
      <c r="A356" s="27" t="s">
        <v>245</v>
      </c>
      <c r="B356" s="27" t="s">
        <v>323</v>
      </c>
      <c r="C356" s="27" t="s">
        <v>103</v>
      </c>
      <c r="D356" s="27" t="s">
        <v>93</v>
      </c>
      <c r="E356" s="20" t="s">
        <v>154</v>
      </c>
      <c r="F356" s="20">
        <v>278</v>
      </c>
      <c r="G356" s="19">
        <v>16</v>
      </c>
      <c r="H356" s="19">
        <v>4448</v>
      </c>
      <c r="I356" s="19" t="s">
        <v>95</v>
      </c>
      <c r="J356" s="28" t="s">
        <v>155</v>
      </c>
      <c r="K356" s="19" t="s">
        <v>156</v>
      </c>
    </row>
    <row r="357" spans="1:11" x14ac:dyDescent="0.45">
      <c r="A357" s="27" t="s">
        <v>245</v>
      </c>
      <c r="B357" s="27" t="s">
        <v>324</v>
      </c>
      <c r="C357" s="27" t="s">
        <v>103</v>
      </c>
      <c r="D357" s="27" t="s">
        <v>93</v>
      </c>
      <c r="E357" s="20" t="s">
        <v>154</v>
      </c>
      <c r="F357" s="20">
        <v>278</v>
      </c>
      <c r="G357" s="19">
        <v>17</v>
      </c>
      <c r="H357" s="19">
        <v>4726</v>
      </c>
      <c r="I357" s="19" t="s">
        <v>95</v>
      </c>
      <c r="J357" s="28" t="s">
        <v>155</v>
      </c>
      <c r="K357" s="19" t="s">
        <v>156</v>
      </c>
    </row>
    <row r="358" spans="1:11" x14ac:dyDescent="0.45">
      <c r="A358" s="27" t="s">
        <v>245</v>
      </c>
      <c r="B358" s="27" t="s">
        <v>325</v>
      </c>
      <c r="C358" s="27" t="s">
        <v>103</v>
      </c>
      <c r="D358" s="27" t="s">
        <v>93</v>
      </c>
      <c r="E358" s="20" t="s">
        <v>154</v>
      </c>
      <c r="F358" s="20">
        <v>278</v>
      </c>
      <c r="G358" s="19">
        <v>16</v>
      </c>
      <c r="H358" s="19">
        <v>4448</v>
      </c>
      <c r="I358" s="19" t="s">
        <v>95</v>
      </c>
      <c r="J358" s="28" t="s">
        <v>155</v>
      </c>
      <c r="K358" s="19" t="s">
        <v>156</v>
      </c>
    </row>
    <row r="359" spans="1:11" x14ac:dyDescent="0.45">
      <c r="A359" s="27" t="s">
        <v>245</v>
      </c>
      <c r="B359" s="27" t="s">
        <v>326</v>
      </c>
      <c r="C359" s="27" t="s">
        <v>103</v>
      </c>
      <c r="D359" s="27" t="s">
        <v>93</v>
      </c>
      <c r="E359" s="20" t="s">
        <v>154</v>
      </c>
      <c r="F359" s="20">
        <v>278</v>
      </c>
      <c r="G359" s="19">
        <v>17</v>
      </c>
      <c r="H359" s="19">
        <v>4726</v>
      </c>
      <c r="I359" s="19" t="s">
        <v>95</v>
      </c>
      <c r="J359" s="28" t="s">
        <v>155</v>
      </c>
      <c r="K359" s="19" t="s">
        <v>156</v>
      </c>
    </row>
    <row r="360" spans="1:11" x14ac:dyDescent="0.45">
      <c r="A360" s="27" t="s">
        <v>245</v>
      </c>
      <c r="B360" s="27" t="s">
        <v>327</v>
      </c>
      <c r="C360" s="27" t="s">
        <v>103</v>
      </c>
      <c r="D360" s="27" t="s">
        <v>93</v>
      </c>
      <c r="E360" s="20" t="s">
        <v>154</v>
      </c>
      <c r="F360" s="20">
        <v>278</v>
      </c>
      <c r="G360" s="19">
        <v>20</v>
      </c>
      <c r="H360" s="19">
        <v>5560</v>
      </c>
      <c r="I360" s="19" t="s">
        <v>95</v>
      </c>
      <c r="J360" s="28" t="s">
        <v>155</v>
      </c>
      <c r="K360" s="19" t="s">
        <v>156</v>
      </c>
    </row>
    <row r="361" spans="1:11" x14ac:dyDescent="0.45">
      <c r="A361" s="27" t="s">
        <v>245</v>
      </c>
      <c r="B361" s="27" t="s">
        <v>328</v>
      </c>
      <c r="C361" s="27" t="s">
        <v>103</v>
      </c>
      <c r="D361" s="27" t="s">
        <v>93</v>
      </c>
      <c r="E361" s="20" t="s">
        <v>154</v>
      </c>
      <c r="F361" s="20">
        <v>278</v>
      </c>
      <c r="G361" s="19">
        <v>10</v>
      </c>
      <c r="H361" s="19">
        <v>2780</v>
      </c>
      <c r="I361" s="19" t="s">
        <v>95</v>
      </c>
      <c r="J361" s="28" t="s">
        <v>155</v>
      </c>
      <c r="K361" s="19" t="s">
        <v>156</v>
      </c>
    </row>
    <row r="362" spans="1:11" x14ac:dyDescent="0.45">
      <c r="A362" s="27" t="s">
        <v>245</v>
      </c>
      <c r="B362" s="27" t="s">
        <v>323</v>
      </c>
      <c r="C362" s="27" t="s">
        <v>103</v>
      </c>
      <c r="D362" s="27" t="s">
        <v>93</v>
      </c>
      <c r="E362" s="20" t="s">
        <v>150</v>
      </c>
      <c r="F362" s="20">
        <v>280</v>
      </c>
      <c r="G362" s="19">
        <v>16</v>
      </c>
      <c r="H362" s="19">
        <v>4480</v>
      </c>
      <c r="I362" s="19" t="s">
        <v>232</v>
      </c>
      <c r="J362" s="28" t="s">
        <v>233</v>
      </c>
      <c r="K362" s="19" t="s">
        <v>234</v>
      </c>
    </row>
    <row r="363" spans="1:11" x14ac:dyDescent="0.45">
      <c r="A363" s="27" t="s">
        <v>245</v>
      </c>
      <c r="B363" s="27" t="s">
        <v>324</v>
      </c>
      <c r="C363" s="27" t="s">
        <v>103</v>
      </c>
      <c r="D363" s="27" t="s">
        <v>93</v>
      </c>
      <c r="E363" s="20" t="s">
        <v>150</v>
      </c>
      <c r="F363" s="20">
        <v>280</v>
      </c>
      <c r="G363" s="19">
        <v>17</v>
      </c>
      <c r="H363" s="19">
        <v>4760</v>
      </c>
      <c r="I363" s="19" t="s">
        <v>232</v>
      </c>
      <c r="J363" s="28" t="s">
        <v>233</v>
      </c>
      <c r="K363" s="19" t="s">
        <v>234</v>
      </c>
    </row>
    <row r="364" spans="1:11" x14ac:dyDescent="0.45">
      <c r="A364" s="27" t="s">
        <v>245</v>
      </c>
      <c r="B364" s="27" t="s">
        <v>325</v>
      </c>
      <c r="C364" s="27" t="s">
        <v>103</v>
      </c>
      <c r="D364" s="27" t="s">
        <v>93</v>
      </c>
      <c r="E364" s="20" t="s">
        <v>150</v>
      </c>
      <c r="F364" s="20">
        <v>280</v>
      </c>
      <c r="G364" s="19">
        <v>16</v>
      </c>
      <c r="H364" s="19">
        <v>4480</v>
      </c>
      <c r="I364" s="19" t="s">
        <v>232</v>
      </c>
      <c r="J364" s="28" t="s">
        <v>233</v>
      </c>
      <c r="K364" s="19" t="s">
        <v>234</v>
      </c>
    </row>
    <row r="365" spans="1:11" x14ac:dyDescent="0.45">
      <c r="A365" s="27" t="s">
        <v>245</v>
      </c>
      <c r="B365" s="27" t="s">
        <v>326</v>
      </c>
      <c r="C365" s="27" t="s">
        <v>103</v>
      </c>
      <c r="D365" s="27" t="s">
        <v>93</v>
      </c>
      <c r="E365" s="20" t="s">
        <v>150</v>
      </c>
      <c r="F365" s="20">
        <v>280</v>
      </c>
      <c r="G365" s="19">
        <v>17</v>
      </c>
      <c r="H365" s="19">
        <v>4760</v>
      </c>
      <c r="I365" s="19" t="s">
        <v>232</v>
      </c>
      <c r="J365" s="28" t="s">
        <v>233</v>
      </c>
      <c r="K365" s="19" t="s">
        <v>234</v>
      </c>
    </row>
    <row r="366" spans="1:11" x14ac:dyDescent="0.45">
      <c r="A366" s="27" t="s">
        <v>245</v>
      </c>
      <c r="B366" s="27" t="s">
        <v>327</v>
      </c>
      <c r="C366" s="27" t="s">
        <v>103</v>
      </c>
      <c r="D366" s="27" t="s">
        <v>93</v>
      </c>
      <c r="E366" s="20" t="s">
        <v>150</v>
      </c>
      <c r="F366" s="20">
        <v>280</v>
      </c>
      <c r="G366" s="19">
        <v>20</v>
      </c>
      <c r="H366" s="19">
        <v>5600</v>
      </c>
      <c r="I366" s="19" t="s">
        <v>232</v>
      </c>
      <c r="J366" s="28" t="s">
        <v>233</v>
      </c>
      <c r="K366" s="19" t="s">
        <v>234</v>
      </c>
    </row>
    <row r="367" spans="1:11" x14ac:dyDescent="0.45">
      <c r="A367" s="27" t="s">
        <v>245</v>
      </c>
      <c r="B367" s="27" t="s">
        <v>328</v>
      </c>
      <c r="C367" s="27" t="s">
        <v>103</v>
      </c>
      <c r="D367" s="27" t="s">
        <v>93</v>
      </c>
      <c r="E367" s="20" t="s">
        <v>150</v>
      </c>
      <c r="F367" s="20">
        <v>280</v>
      </c>
      <c r="G367" s="19">
        <v>10</v>
      </c>
      <c r="H367" s="19">
        <v>2800</v>
      </c>
      <c r="I367" s="19" t="s">
        <v>232</v>
      </c>
      <c r="J367" s="28" t="s">
        <v>233</v>
      </c>
      <c r="K367" s="19" t="s">
        <v>234</v>
      </c>
    </row>
    <row r="368" spans="1:11" x14ac:dyDescent="0.45">
      <c r="A368" s="27" t="s">
        <v>60</v>
      </c>
      <c r="B368" s="27" t="s">
        <v>285</v>
      </c>
      <c r="C368" s="27" t="s">
        <v>103</v>
      </c>
      <c r="D368" s="27" t="s">
        <v>5</v>
      </c>
      <c r="E368" s="20" t="s">
        <v>116</v>
      </c>
      <c r="F368" s="20">
        <v>199</v>
      </c>
      <c r="G368" s="19">
        <v>40</v>
      </c>
      <c r="H368" s="19">
        <v>7960</v>
      </c>
      <c r="I368" s="19" t="s">
        <v>7</v>
      </c>
      <c r="J368" s="28" t="s">
        <v>117</v>
      </c>
      <c r="K368" s="19" t="s">
        <v>118</v>
      </c>
    </row>
    <row r="369" spans="1:11" x14ac:dyDescent="0.45">
      <c r="A369" s="27" t="s">
        <v>60</v>
      </c>
      <c r="B369" s="27" t="s">
        <v>286</v>
      </c>
      <c r="C369" s="27" t="s">
        <v>103</v>
      </c>
      <c r="D369" s="27" t="s">
        <v>5</v>
      </c>
      <c r="E369" s="20" t="s">
        <v>116</v>
      </c>
      <c r="F369" s="20">
        <v>199</v>
      </c>
      <c r="G369" s="19">
        <v>38</v>
      </c>
      <c r="H369" s="19">
        <v>7562</v>
      </c>
      <c r="I369" s="19" t="s">
        <v>7</v>
      </c>
      <c r="J369" s="28" t="s">
        <v>117</v>
      </c>
      <c r="K369" s="19" t="s">
        <v>118</v>
      </c>
    </row>
    <row r="370" spans="1:11" x14ac:dyDescent="0.45">
      <c r="A370" s="27" t="s">
        <v>60</v>
      </c>
      <c r="B370" s="27" t="s">
        <v>287</v>
      </c>
      <c r="C370" s="27" t="s">
        <v>103</v>
      </c>
      <c r="D370" s="27" t="s">
        <v>5</v>
      </c>
      <c r="E370" s="20" t="s">
        <v>116</v>
      </c>
      <c r="F370" s="20">
        <v>199</v>
      </c>
      <c r="G370" s="19">
        <v>40</v>
      </c>
      <c r="H370" s="19">
        <v>7960</v>
      </c>
      <c r="I370" s="19" t="s">
        <v>7</v>
      </c>
      <c r="J370" s="28" t="s">
        <v>117</v>
      </c>
      <c r="K370" s="19" t="s">
        <v>118</v>
      </c>
    </row>
    <row r="371" spans="1:11" x14ac:dyDescent="0.45">
      <c r="A371" s="27" t="s">
        <v>60</v>
      </c>
      <c r="B371" s="27" t="s">
        <v>288</v>
      </c>
      <c r="C371" s="27" t="s">
        <v>103</v>
      </c>
      <c r="D371" s="27" t="s">
        <v>5</v>
      </c>
      <c r="E371" s="20" t="s">
        <v>116</v>
      </c>
      <c r="F371" s="20">
        <v>199</v>
      </c>
      <c r="G371" s="19">
        <v>38</v>
      </c>
      <c r="H371" s="19">
        <v>7562</v>
      </c>
      <c r="I371" s="19" t="s">
        <v>7</v>
      </c>
      <c r="J371" s="28" t="s">
        <v>117</v>
      </c>
      <c r="K371" s="19" t="s">
        <v>118</v>
      </c>
    </row>
    <row r="372" spans="1:11" x14ac:dyDescent="0.45">
      <c r="A372" s="27" t="s">
        <v>60</v>
      </c>
      <c r="B372" s="27" t="s">
        <v>289</v>
      </c>
      <c r="C372" s="27" t="s">
        <v>103</v>
      </c>
      <c r="D372" s="27" t="s">
        <v>5</v>
      </c>
      <c r="E372" s="20" t="s">
        <v>116</v>
      </c>
      <c r="F372" s="20">
        <v>199</v>
      </c>
      <c r="G372" s="19">
        <v>39</v>
      </c>
      <c r="H372" s="19">
        <v>7761</v>
      </c>
      <c r="I372" s="19" t="s">
        <v>7</v>
      </c>
      <c r="J372" s="28" t="s">
        <v>117</v>
      </c>
      <c r="K372" s="19" t="s">
        <v>118</v>
      </c>
    </row>
    <row r="373" spans="1:11" x14ac:dyDescent="0.45">
      <c r="A373" s="27" t="s">
        <v>60</v>
      </c>
      <c r="B373" s="27" t="s">
        <v>290</v>
      </c>
      <c r="C373" s="27" t="s">
        <v>103</v>
      </c>
      <c r="D373" s="27" t="s">
        <v>5</v>
      </c>
      <c r="E373" s="20" t="s">
        <v>116</v>
      </c>
      <c r="F373" s="20">
        <v>199</v>
      </c>
      <c r="G373" s="19">
        <v>38</v>
      </c>
      <c r="H373" s="19">
        <v>7562</v>
      </c>
      <c r="I373" s="19" t="s">
        <v>7</v>
      </c>
      <c r="J373" s="28" t="s">
        <v>117</v>
      </c>
      <c r="K373" s="19" t="s">
        <v>118</v>
      </c>
    </row>
    <row r="374" spans="1:11" x14ac:dyDescent="0.45">
      <c r="A374" s="27" t="s">
        <v>60</v>
      </c>
      <c r="B374" s="27" t="s">
        <v>291</v>
      </c>
      <c r="C374" s="27" t="s">
        <v>103</v>
      </c>
      <c r="D374" s="27" t="s">
        <v>5</v>
      </c>
      <c r="E374" s="20" t="s">
        <v>116</v>
      </c>
      <c r="F374" s="20">
        <v>199</v>
      </c>
      <c r="G374" s="19">
        <v>37</v>
      </c>
      <c r="H374" s="19">
        <v>7363</v>
      </c>
      <c r="I374" s="19" t="s">
        <v>7</v>
      </c>
      <c r="J374" s="28" t="s">
        <v>117</v>
      </c>
      <c r="K374" s="19" t="s">
        <v>118</v>
      </c>
    </row>
    <row r="375" spans="1:11" x14ac:dyDescent="0.45">
      <c r="A375" s="27" t="s">
        <v>60</v>
      </c>
      <c r="B375" s="27" t="s">
        <v>292</v>
      </c>
      <c r="C375" s="27" t="s">
        <v>103</v>
      </c>
      <c r="D375" s="27" t="s">
        <v>5</v>
      </c>
      <c r="E375" s="20" t="s">
        <v>116</v>
      </c>
      <c r="F375" s="20">
        <v>199</v>
      </c>
      <c r="G375" s="19">
        <v>39</v>
      </c>
      <c r="H375" s="19">
        <v>7761</v>
      </c>
      <c r="I375" s="19" t="s">
        <v>7</v>
      </c>
      <c r="J375" s="28" t="s">
        <v>117</v>
      </c>
      <c r="K375" s="19" t="s">
        <v>118</v>
      </c>
    </row>
    <row r="376" spans="1:11" x14ac:dyDescent="0.45">
      <c r="A376" s="27" t="s">
        <v>60</v>
      </c>
      <c r="B376" s="27" t="s">
        <v>293</v>
      </c>
      <c r="C376" s="27" t="s">
        <v>103</v>
      </c>
      <c r="D376" s="27" t="s">
        <v>5</v>
      </c>
      <c r="E376" s="20" t="s">
        <v>116</v>
      </c>
      <c r="F376" s="20">
        <v>199</v>
      </c>
      <c r="G376" s="19">
        <v>39</v>
      </c>
      <c r="H376" s="19">
        <v>7761</v>
      </c>
      <c r="I376" s="19" t="s">
        <v>7</v>
      </c>
      <c r="J376" s="28" t="s">
        <v>117</v>
      </c>
      <c r="K376" s="19" t="s">
        <v>118</v>
      </c>
    </row>
    <row r="377" spans="1:11" x14ac:dyDescent="0.45">
      <c r="A377" s="27" t="s">
        <v>60</v>
      </c>
      <c r="B377" s="27" t="s">
        <v>294</v>
      </c>
      <c r="C377" s="27" t="s">
        <v>103</v>
      </c>
      <c r="D377" s="27" t="s">
        <v>5</v>
      </c>
      <c r="E377" s="20" t="s">
        <v>116</v>
      </c>
      <c r="F377" s="20">
        <v>199</v>
      </c>
      <c r="G377" s="19">
        <v>40</v>
      </c>
      <c r="H377" s="19">
        <v>7960</v>
      </c>
      <c r="I377" s="19" t="s">
        <v>7</v>
      </c>
      <c r="J377" s="28" t="s">
        <v>117</v>
      </c>
      <c r="K377" s="19" t="s">
        <v>118</v>
      </c>
    </row>
    <row r="378" spans="1:11" x14ac:dyDescent="0.45">
      <c r="A378" s="27" t="s">
        <v>60</v>
      </c>
      <c r="B378" s="27" t="s">
        <v>295</v>
      </c>
      <c r="C378" s="27" t="s">
        <v>103</v>
      </c>
      <c r="D378" s="27" t="s">
        <v>5</v>
      </c>
      <c r="E378" s="20" t="s">
        <v>116</v>
      </c>
      <c r="F378" s="20">
        <v>199</v>
      </c>
      <c r="G378" s="19">
        <v>39</v>
      </c>
      <c r="H378" s="19">
        <v>7761</v>
      </c>
      <c r="I378" s="19" t="s">
        <v>7</v>
      </c>
      <c r="J378" s="28" t="s">
        <v>117</v>
      </c>
      <c r="K378" s="19" t="s">
        <v>118</v>
      </c>
    </row>
    <row r="379" spans="1:11" x14ac:dyDescent="0.45">
      <c r="A379" s="27" t="s">
        <v>60</v>
      </c>
      <c r="B379" s="27" t="s">
        <v>296</v>
      </c>
      <c r="C379" s="27" t="s">
        <v>103</v>
      </c>
      <c r="D379" s="27" t="s">
        <v>5</v>
      </c>
      <c r="E379" s="20" t="s">
        <v>116</v>
      </c>
      <c r="F379" s="20">
        <v>199</v>
      </c>
      <c r="G379" s="19">
        <v>39</v>
      </c>
      <c r="H379" s="19">
        <v>7761</v>
      </c>
      <c r="I379" s="19" t="s">
        <v>7</v>
      </c>
      <c r="J379" s="28" t="s">
        <v>117</v>
      </c>
      <c r="K379" s="19" t="s">
        <v>118</v>
      </c>
    </row>
    <row r="380" spans="1:11" x14ac:dyDescent="0.45">
      <c r="A380" s="27" t="s">
        <v>60</v>
      </c>
      <c r="B380" s="27" t="s">
        <v>297</v>
      </c>
      <c r="C380" s="27" t="s">
        <v>103</v>
      </c>
      <c r="D380" s="27" t="s">
        <v>5</v>
      </c>
      <c r="E380" s="20" t="s">
        <v>116</v>
      </c>
      <c r="F380" s="20">
        <v>199</v>
      </c>
      <c r="G380" s="19">
        <v>40</v>
      </c>
      <c r="H380" s="19">
        <v>7960</v>
      </c>
      <c r="I380" s="19" t="s">
        <v>7</v>
      </c>
      <c r="J380" s="28" t="s">
        <v>117</v>
      </c>
      <c r="K380" s="19" t="s">
        <v>118</v>
      </c>
    </row>
    <row r="381" spans="1:11" x14ac:dyDescent="0.45">
      <c r="A381" s="27" t="s">
        <v>60</v>
      </c>
      <c r="B381" s="27" t="s">
        <v>298</v>
      </c>
      <c r="C381" s="27" t="s">
        <v>103</v>
      </c>
      <c r="D381" s="27" t="s">
        <v>5</v>
      </c>
      <c r="E381" s="20" t="s">
        <v>116</v>
      </c>
      <c r="F381" s="20">
        <v>199</v>
      </c>
      <c r="G381" s="19">
        <v>42</v>
      </c>
      <c r="H381" s="19">
        <v>8358</v>
      </c>
      <c r="I381" s="19" t="s">
        <v>7</v>
      </c>
      <c r="J381" s="28" t="s">
        <v>117</v>
      </c>
      <c r="K381" s="19" t="s">
        <v>118</v>
      </c>
    </row>
    <row r="382" spans="1:11" x14ac:dyDescent="0.45">
      <c r="A382" s="27" t="s">
        <v>60</v>
      </c>
      <c r="B382" s="27" t="s">
        <v>281</v>
      </c>
      <c r="C382" s="27" t="s">
        <v>103</v>
      </c>
      <c r="D382" s="27" t="s">
        <v>69</v>
      </c>
      <c r="E382" s="20" t="s">
        <v>112</v>
      </c>
      <c r="F382" s="20">
        <v>228</v>
      </c>
      <c r="G382" s="19">
        <v>29</v>
      </c>
      <c r="H382" s="19">
        <v>6612</v>
      </c>
      <c r="I382" s="19" t="s">
        <v>113</v>
      </c>
      <c r="J382" s="28" t="s">
        <v>114</v>
      </c>
      <c r="K382" s="19" t="s">
        <v>115</v>
      </c>
    </row>
    <row r="383" spans="1:11" x14ac:dyDescent="0.45">
      <c r="A383" s="27" t="s">
        <v>60</v>
      </c>
      <c r="B383" s="27" t="s">
        <v>282</v>
      </c>
      <c r="C383" s="27" t="s">
        <v>103</v>
      </c>
      <c r="D383" s="27" t="s">
        <v>69</v>
      </c>
      <c r="E383" s="20" t="s">
        <v>112</v>
      </c>
      <c r="F383" s="20">
        <v>228</v>
      </c>
      <c r="G383" s="19">
        <v>30</v>
      </c>
      <c r="H383" s="19">
        <v>6840</v>
      </c>
      <c r="I383" s="19" t="s">
        <v>113</v>
      </c>
      <c r="J383" s="28" t="s">
        <v>114</v>
      </c>
      <c r="K383" s="19" t="s">
        <v>115</v>
      </c>
    </row>
    <row r="384" spans="1:11" x14ac:dyDescent="0.45">
      <c r="A384" s="27" t="s">
        <v>60</v>
      </c>
      <c r="B384" s="27" t="s">
        <v>283</v>
      </c>
      <c r="C384" s="27" t="s">
        <v>103</v>
      </c>
      <c r="D384" s="27" t="s">
        <v>69</v>
      </c>
      <c r="E384" s="20" t="s">
        <v>112</v>
      </c>
      <c r="F384" s="20">
        <v>228</v>
      </c>
      <c r="G384" s="19">
        <v>51</v>
      </c>
      <c r="H384" s="19">
        <v>11628</v>
      </c>
      <c r="I384" s="19" t="s">
        <v>113</v>
      </c>
      <c r="J384" s="28" t="s">
        <v>114</v>
      </c>
      <c r="K384" s="19" t="s">
        <v>115</v>
      </c>
    </row>
    <row r="385" spans="1:11" x14ac:dyDescent="0.45">
      <c r="A385" s="27" t="s">
        <v>60</v>
      </c>
      <c r="B385" s="27" t="s">
        <v>284</v>
      </c>
      <c r="C385" s="27" t="s">
        <v>103</v>
      </c>
      <c r="D385" s="27" t="s">
        <v>69</v>
      </c>
      <c r="E385" s="20" t="s">
        <v>112</v>
      </c>
      <c r="F385" s="20">
        <v>228</v>
      </c>
      <c r="G385" s="19">
        <v>53</v>
      </c>
      <c r="H385" s="19">
        <v>12084</v>
      </c>
      <c r="I385" s="19" t="s">
        <v>113</v>
      </c>
      <c r="J385" s="28" t="s">
        <v>114</v>
      </c>
      <c r="K385" s="19" t="s">
        <v>115</v>
      </c>
    </row>
    <row r="386" spans="1:11" x14ac:dyDescent="0.45">
      <c r="A386" s="27" t="s">
        <v>60</v>
      </c>
      <c r="B386" s="27" t="s">
        <v>281</v>
      </c>
      <c r="C386" s="27" t="s">
        <v>103</v>
      </c>
      <c r="D386" s="27" t="s">
        <v>69</v>
      </c>
      <c r="E386" s="20" t="s">
        <v>108</v>
      </c>
      <c r="F386" s="20">
        <v>249</v>
      </c>
      <c r="G386" s="19">
        <v>30</v>
      </c>
      <c r="H386" s="19">
        <v>7470</v>
      </c>
      <c r="I386" s="19" t="s">
        <v>109</v>
      </c>
      <c r="J386" s="28" t="s">
        <v>110</v>
      </c>
      <c r="K386" s="19" t="s">
        <v>111</v>
      </c>
    </row>
    <row r="387" spans="1:11" x14ac:dyDescent="0.45">
      <c r="A387" s="27" t="s">
        <v>60</v>
      </c>
      <c r="B387" s="27" t="s">
        <v>282</v>
      </c>
      <c r="C387" s="27" t="s">
        <v>103</v>
      </c>
      <c r="D387" s="27" t="s">
        <v>69</v>
      </c>
      <c r="E387" s="20" t="s">
        <v>108</v>
      </c>
      <c r="F387" s="20">
        <v>249</v>
      </c>
      <c r="G387" s="19">
        <v>30</v>
      </c>
      <c r="H387" s="19">
        <v>7470</v>
      </c>
      <c r="I387" s="19" t="s">
        <v>109</v>
      </c>
      <c r="J387" s="28" t="s">
        <v>110</v>
      </c>
      <c r="K387" s="19" t="s">
        <v>111</v>
      </c>
    </row>
    <row r="388" spans="1:11" x14ac:dyDescent="0.45">
      <c r="A388" s="27" t="s">
        <v>245</v>
      </c>
      <c r="B388" s="27" t="s">
        <v>323</v>
      </c>
      <c r="C388" s="27" t="s">
        <v>103</v>
      </c>
      <c r="D388" s="27" t="s">
        <v>69</v>
      </c>
      <c r="E388" s="20" t="s">
        <v>221</v>
      </c>
      <c r="F388" s="20">
        <v>218</v>
      </c>
      <c r="G388" s="19">
        <v>16</v>
      </c>
      <c r="H388" s="19">
        <v>3488</v>
      </c>
      <c r="I388" s="19" t="s">
        <v>222</v>
      </c>
      <c r="J388" s="28" t="s">
        <v>223</v>
      </c>
      <c r="K388" s="19" t="s">
        <v>224</v>
      </c>
    </row>
    <row r="389" spans="1:11" x14ac:dyDescent="0.45">
      <c r="A389" s="27" t="s">
        <v>245</v>
      </c>
      <c r="B389" s="27" t="s">
        <v>324</v>
      </c>
      <c r="C389" s="27" t="s">
        <v>103</v>
      </c>
      <c r="D389" s="27" t="s">
        <v>69</v>
      </c>
      <c r="E389" s="20" t="s">
        <v>221</v>
      </c>
      <c r="F389" s="20">
        <v>218</v>
      </c>
      <c r="G389" s="19">
        <v>17</v>
      </c>
      <c r="H389" s="19">
        <v>3706</v>
      </c>
      <c r="I389" s="19" t="s">
        <v>222</v>
      </c>
      <c r="J389" s="28" t="s">
        <v>223</v>
      </c>
      <c r="K389" s="19" t="s">
        <v>224</v>
      </c>
    </row>
    <row r="390" spans="1:11" x14ac:dyDescent="0.45">
      <c r="A390" s="27" t="s">
        <v>245</v>
      </c>
      <c r="B390" s="27" t="s">
        <v>325</v>
      </c>
      <c r="C390" s="27" t="s">
        <v>103</v>
      </c>
      <c r="D390" s="27" t="s">
        <v>69</v>
      </c>
      <c r="E390" s="20" t="s">
        <v>221</v>
      </c>
      <c r="F390" s="20">
        <v>218</v>
      </c>
      <c r="G390" s="19">
        <v>16</v>
      </c>
      <c r="H390" s="19">
        <v>3488</v>
      </c>
      <c r="I390" s="19" t="s">
        <v>222</v>
      </c>
      <c r="J390" s="28" t="s">
        <v>223</v>
      </c>
      <c r="K390" s="19" t="s">
        <v>224</v>
      </c>
    </row>
    <row r="391" spans="1:11" x14ac:dyDescent="0.45">
      <c r="A391" s="27" t="s">
        <v>245</v>
      </c>
      <c r="B391" s="27" t="s">
        <v>326</v>
      </c>
      <c r="C391" s="27" t="s">
        <v>103</v>
      </c>
      <c r="D391" s="27" t="s">
        <v>69</v>
      </c>
      <c r="E391" s="20" t="s">
        <v>221</v>
      </c>
      <c r="F391" s="20">
        <v>218</v>
      </c>
      <c r="G391" s="19">
        <v>17</v>
      </c>
      <c r="H391" s="19">
        <v>3706</v>
      </c>
      <c r="I391" s="19" t="s">
        <v>222</v>
      </c>
      <c r="J391" s="28" t="s">
        <v>223</v>
      </c>
      <c r="K391" s="19" t="s">
        <v>224</v>
      </c>
    </row>
    <row r="392" spans="1:11" x14ac:dyDescent="0.45">
      <c r="A392" s="27" t="s">
        <v>245</v>
      </c>
      <c r="B392" s="27" t="s">
        <v>327</v>
      </c>
      <c r="C392" s="27" t="s">
        <v>103</v>
      </c>
      <c r="D392" s="27" t="s">
        <v>69</v>
      </c>
      <c r="E392" s="20" t="s">
        <v>221</v>
      </c>
      <c r="F392" s="20">
        <v>218</v>
      </c>
      <c r="G392" s="19">
        <v>20</v>
      </c>
      <c r="H392" s="19">
        <v>4360</v>
      </c>
      <c r="I392" s="19" t="s">
        <v>222</v>
      </c>
      <c r="J392" s="28" t="s">
        <v>223</v>
      </c>
      <c r="K392" s="19" t="s">
        <v>224</v>
      </c>
    </row>
    <row r="393" spans="1:11" x14ac:dyDescent="0.45">
      <c r="A393" s="27" t="s">
        <v>245</v>
      </c>
      <c r="B393" s="27" t="s">
        <v>328</v>
      </c>
      <c r="C393" s="27" t="s">
        <v>103</v>
      </c>
      <c r="D393" s="27" t="s">
        <v>69</v>
      </c>
      <c r="E393" s="20" t="s">
        <v>221</v>
      </c>
      <c r="F393" s="20">
        <v>218</v>
      </c>
      <c r="G393" s="19">
        <v>10</v>
      </c>
      <c r="H393" s="19">
        <v>2180</v>
      </c>
      <c r="I393" s="19" t="s">
        <v>222</v>
      </c>
      <c r="J393" s="28" t="s">
        <v>223</v>
      </c>
      <c r="K393" s="19" t="s">
        <v>224</v>
      </c>
    </row>
    <row r="394" spans="1:11" x14ac:dyDescent="0.45">
      <c r="A394" s="27" t="s">
        <v>245</v>
      </c>
      <c r="B394" s="27" t="s">
        <v>323</v>
      </c>
      <c r="C394" s="27" t="s">
        <v>103</v>
      </c>
      <c r="D394" s="27" t="s">
        <v>69</v>
      </c>
      <c r="E394" s="20" t="s">
        <v>116</v>
      </c>
      <c r="F394" s="20">
        <v>205</v>
      </c>
      <c r="G394" s="19">
        <v>16</v>
      </c>
      <c r="H394" s="19">
        <v>3280</v>
      </c>
      <c r="I394" s="19" t="s">
        <v>218</v>
      </c>
      <c r="J394" s="28" t="s">
        <v>219</v>
      </c>
      <c r="K394" s="19" t="s">
        <v>220</v>
      </c>
    </row>
    <row r="395" spans="1:11" x14ac:dyDescent="0.45">
      <c r="A395" s="27" t="s">
        <v>245</v>
      </c>
      <c r="B395" s="27" t="s">
        <v>324</v>
      </c>
      <c r="C395" s="27" t="s">
        <v>103</v>
      </c>
      <c r="D395" s="27" t="s">
        <v>69</v>
      </c>
      <c r="E395" s="20" t="s">
        <v>116</v>
      </c>
      <c r="F395" s="20">
        <v>205</v>
      </c>
      <c r="G395" s="19">
        <v>17</v>
      </c>
      <c r="H395" s="19">
        <v>3485</v>
      </c>
      <c r="I395" s="19" t="s">
        <v>218</v>
      </c>
      <c r="J395" s="28" t="s">
        <v>219</v>
      </c>
      <c r="K395" s="19" t="s">
        <v>220</v>
      </c>
    </row>
    <row r="396" spans="1:11" x14ac:dyDescent="0.45">
      <c r="A396" s="27" t="s">
        <v>245</v>
      </c>
      <c r="B396" s="27" t="s">
        <v>325</v>
      </c>
      <c r="C396" s="27" t="s">
        <v>103</v>
      </c>
      <c r="D396" s="27" t="s">
        <v>69</v>
      </c>
      <c r="E396" s="20" t="s">
        <v>116</v>
      </c>
      <c r="F396" s="20">
        <v>205</v>
      </c>
      <c r="G396" s="19">
        <v>16</v>
      </c>
      <c r="H396" s="19">
        <v>3280</v>
      </c>
      <c r="I396" s="19" t="s">
        <v>218</v>
      </c>
      <c r="J396" s="28" t="s">
        <v>219</v>
      </c>
      <c r="K396" s="19" t="s">
        <v>220</v>
      </c>
    </row>
    <row r="397" spans="1:11" x14ac:dyDescent="0.45">
      <c r="A397" s="27" t="s">
        <v>245</v>
      </c>
      <c r="B397" s="27" t="s">
        <v>326</v>
      </c>
      <c r="C397" s="27" t="s">
        <v>103</v>
      </c>
      <c r="D397" s="27" t="s">
        <v>69</v>
      </c>
      <c r="E397" s="20" t="s">
        <v>116</v>
      </c>
      <c r="F397" s="20">
        <v>205</v>
      </c>
      <c r="G397" s="19">
        <v>17</v>
      </c>
      <c r="H397" s="19">
        <v>3485</v>
      </c>
      <c r="I397" s="19" t="s">
        <v>218</v>
      </c>
      <c r="J397" s="28" t="s">
        <v>219</v>
      </c>
      <c r="K397" s="19" t="s">
        <v>220</v>
      </c>
    </row>
    <row r="398" spans="1:11" x14ac:dyDescent="0.45">
      <c r="A398" s="27" t="s">
        <v>245</v>
      </c>
      <c r="B398" s="27" t="s">
        <v>327</v>
      </c>
      <c r="C398" s="27" t="s">
        <v>103</v>
      </c>
      <c r="D398" s="27" t="s">
        <v>69</v>
      </c>
      <c r="E398" s="20" t="s">
        <v>116</v>
      </c>
      <c r="F398" s="20">
        <v>205</v>
      </c>
      <c r="G398" s="19">
        <v>20</v>
      </c>
      <c r="H398" s="19">
        <v>4100</v>
      </c>
      <c r="I398" s="19" t="s">
        <v>218</v>
      </c>
      <c r="J398" s="28" t="s">
        <v>219</v>
      </c>
      <c r="K398" s="19" t="s">
        <v>220</v>
      </c>
    </row>
    <row r="399" spans="1:11" x14ac:dyDescent="0.45">
      <c r="A399" s="27" t="s">
        <v>245</v>
      </c>
      <c r="B399" s="27" t="s">
        <v>328</v>
      </c>
      <c r="C399" s="27" t="s">
        <v>103</v>
      </c>
      <c r="D399" s="27" t="s">
        <v>69</v>
      </c>
      <c r="E399" s="20" t="s">
        <v>116</v>
      </c>
      <c r="F399" s="20">
        <v>205</v>
      </c>
      <c r="G399" s="19">
        <v>10</v>
      </c>
      <c r="H399" s="19">
        <v>2050</v>
      </c>
      <c r="I399" s="19" t="s">
        <v>218</v>
      </c>
      <c r="J399" s="28" t="s">
        <v>219</v>
      </c>
      <c r="K399" s="19" t="s">
        <v>220</v>
      </c>
    </row>
    <row r="400" spans="1:11" x14ac:dyDescent="0.45">
      <c r="A400" s="27" t="s">
        <v>245</v>
      </c>
      <c r="B400" s="27" t="s">
        <v>327</v>
      </c>
      <c r="C400" s="27" t="s">
        <v>103</v>
      </c>
      <c r="D400" s="27" t="s">
        <v>69</v>
      </c>
      <c r="E400" s="20" t="s">
        <v>237</v>
      </c>
      <c r="F400" s="20">
        <v>254</v>
      </c>
      <c r="G400" s="19">
        <v>20</v>
      </c>
      <c r="H400" s="19">
        <v>5080</v>
      </c>
      <c r="I400" s="19" t="s">
        <v>92</v>
      </c>
      <c r="J400" s="28" t="s">
        <v>90</v>
      </c>
    </row>
    <row r="401" spans="1:11" x14ac:dyDescent="0.45">
      <c r="A401" s="27" t="s">
        <v>245</v>
      </c>
      <c r="B401" s="27" t="s">
        <v>329</v>
      </c>
      <c r="C401" s="27" t="s">
        <v>103</v>
      </c>
      <c r="D401" s="27" t="s">
        <v>69</v>
      </c>
      <c r="E401" s="20" t="s">
        <v>237</v>
      </c>
      <c r="F401" s="20">
        <v>254</v>
      </c>
      <c r="G401" s="19">
        <v>5</v>
      </c>
      <c r="H401" s="19">
        <v>1270</v>
      </c>
      <c r="I401" s="19" t="s">
        <v>92</v>
      </c>
      <c r="J401" s="28" t="s">
        <v>90</v>
      </c>
    </row>
    <row r="402" spans="1:11" x14ac:dyDescent="0.45">
      <c r="A402" s="27" t="s">
        <v>245</v>
      </c>
      <c r="B402" s="27" t="s">
        <v>323</v>
      </c>
      <c r="C402" s="27" t="s">
        <v>103</v>
      </c>
      <c r="D402" s="27" t="s">
        <v>69</v>
      </c>
      <c r="E402" s="20" t="s">
        <v>225</v>
      </c>
      <c r="F402" s="20">
        <v>187</v>
      </c>
      <c r="G402" s="19">
        <v>16</v>
      </c>
      <c r="H402" s="19">
        <v>2992</v>
      </c>
      <c r="I402" s="19" t="s">
        <v>204</v>
      </c>
      <c r="J402" s="28" t="s">
        <v>226</v>
      </c>
      <c r="K402" s="19" t="s">
        <v>227</v>
      </c>
    </row>
    <row r="403" spans="1:11" x14ac:dyDescent="0.45">
      <c r="A403" s="27" t="s">
        <v>245</v>
      </c>
      <c r="B403" s="27" t="s">
        <v>324</v>
      </c>
      <c r="C403" s="27" t="s">
        <v>103</v>
      </c>
      <c r="D403" s="27" t="s">
        <v>69</v>
      </c>
      <c r="E403" s="20" t="s">
        <v>225</v>
      </c>
      <c r="F403" s="20">
        <v>187</v>
      </c>
      <c r="G403" s="19">
        <v>17</v>
      </c>
      <c r="H403" s="19">
        <v>3179</v>
      </c>
      <c r="I403" s="19" t="s">
        <v>204</v>
      </c>
      <c r="J403" s="28" t="s">
        <v>226</v>
      </c>
      <c r="K403" s="19" t="s">
        <v>227</v>
      </c>
    </row>
    <row r="404" spans="1:11" x14ac:dyDescent="0.45">
      <c r="A404" s="27" t="s">
        <v>245</v>
      </c>
      <c r="B404" s="27" t="s">
        <v>325</v>
      </c>
      <c r="C404" s="27" t="s">
        <v>103</v>
      </c>
      <c r="D404" s="27" t="s">
        <v>69</v>
      </c>
      <c r="E404" s="20" t="s">
        <v>225</v>
      </c>
      <c r="F404" s="20">
        <v>187</v>
      </c>
      <c r="G404" s="19">
        <v>16</v>
      </c>
      <c r="H404" s="19">
        <v>2992</v>
      </c>
      <c r="I404" s="19" t="s">
        <v>204</v>
      </c>
      <c r="J404" s="28" t="s">
        <v>226</v>
      </c>
      <c r="K404" s="19" t="s">
        <v>227</v>
      </c>
    </row>
    <row r="405" spans="1:11" x14ac:dyDescent="0.45">
      <c r="A405" s="27" t="s">
        <v>245</v>
      </c>
      <c r="B405" s="27" t="s">
        <v>326</v>
      </c>
      <c r="C405" s="27" t="s">
        <v>103</v>
      </c>
      <c r="D405" s="27" t="s">
        <v>69</v>
      </c>
      <c r="E405" s="20" t="s">
        <v>225</v>
      </c>
      <c r="F405" s="20">
        <v>187</v>
      </c>
      <c r="G405" s="19">
        <v>17</v>
      </c>
      <c r="H405" s="19">
        <v>3179</v>
      </c>
      <c r="I405" s="19" t="s">
        <v>204</v>
      </c>
      <c r="J405" s="28" t="s">
        <v>226</v>
      </c>
      <c r="K405" s="19" t="s">
        <v>227</v>
      </c>
    </row>
    <row r="406" spans="1:11" x14ac:dyDescent="0.45">
      <c r="A406" s="27" t="s">
        <v>245</v>
      </c>
      <c r="B406" s="27" t="s">
        <v>327</v>
      </c>
      <c r="C406" s="27" t="s">
        <v>103</v>
      </c>
      <c r="D406" s="27" t="s">
        <v>69</v>
      </c>
      <c r="E406" s="20" t="s">
        <v>225</v>
      </c>
      <c r="F406" s="20">
        <v>187</v>
      </c>
      <c r="G406" s="19">
        <v>20</v>
      </c>
      <c r="H406" s="19">
        <v>3740</v>
      </c>
      <c r="I406" s="19" t="s">
        <v>204</v>
      </c>
      <c r="J406" s="28" t="s">
        <v>226</v>
      </c>
      <c r="K406" s="19" t="s">
        <v>227</v>
      </c>
    </row>
    <row r="407" spans="1:11" x14ac:dyDescent="0.45">
      <c r="A407" s="27" t="s">
        <v>245</v>
      </c>
      <c r="B407" s="27" t="s">
        <v>328</v>
      </c>
      <c r="C407" s="27" t="s">
        <v>103</v>
      </c>
      <c r="D407" s="27" t="s">
        <v>69</v>
      </c>
      <c r="E407" s="20" t="s">
        <v>225</v>
      </c>
      <c r="F407" s="20">
        <v>187</v>
      </c>
      <c r="G407" s="19">
        <v>10</v>
      </c>
      <c r="H407" s="19">
        <v>1870</v>
      </c>
      <c r="I407" s="19" t="s">
        <v>204</v>
      </c>
      <c r="J407" s="28" t="s">
        <v>226</v>
      </c>
      <c r="K407" s="19" t="s">
        <v>227</v>
      </c>
    </row>
    <row r="408" spans="1:11" x14ac:dyDescent="0.45">
      <c r="A408" s="27" t="s">
        <v>60</v>
      </c>
      <c r="B408" s="27" t="s">
        <v>283</v>
      </c>
      <c r="C408" s="27" t="s">
        <v>103</v>
      </c>
      <c r="D408" s="27" t="s">
        <v>69</v>
      </c>
      <c r="E408" s="20" t="s">
        <v>137</v>
      </c>
      <c r="F408" s="20">
        <v>253</v>
      </c>
      <c r="G408" s="19">
        <v>51</v>
      </c>
      <c r="H408" s="19">
        <v>12903</v>
      </c>
      <c r="I408" s="19" t="s">
        <v>138</v>
      </c>
      <c r="J408" s="28" t="s">
        <v>139</v>
      </c>
      <c r="K408" s="19" t="s">
        <v>140</v>
      </c>
    </row>
    <row r="409" spans="1:11" x14ac:dyDescent="0.45">
      <c r="A409" s="27" t="s">
        <v>60</v>
      </c>
      <c r="B409" s="27" t="s">
        <v>284</v>
      </c>
      <c r="C409" s="27" t="s">
        <v>103</v>
      </c>
      <c r="D409" s="27" t="s">
        <v>69</v>
      </c>
      <c r="E409" s="20" t="s">
        <v>137</v>
      </c>
      <c r="F409" s="20">
        <v>253</v>
      </c>
      <c r="G409" s="19">
        <v>53</v>
      </c>
      <c r="H409" s="19">
        <v>13409</v>
      </c>
      <c r="I409" s="19" t="s">
        <v>138</v>
      </c>
      <c r="J409" s="28" t="s">
        <v>139</v>
      </c>
      <c r="K409" s="19" t="s">
        <v>140</v>
      </c>
    </row>
    <row r="410" spans="1:11" x14ac:dyDescent="0.45">
      <c r="A410" s="27" t="s">
        <v>60</v>
      </c>
      <c r="B410" s="27" t="s">
        <v>299</v>
      </c>
      <c r="C410" s="27" t="s">
        <v>164</v>
      </c>
      <c r="D410" s="27" t="s">
        <v>10</v>
      </c>
      <c r="E410" s="20" t="s">
        <v>172</v>
      </c>
      <c r="F410" s="20">
        <v>218</v>
      </c>
      <c r="G410" s="19">
        <v>31</v>
      </c>
      <c r="H410" s="19">
        <v>6758</v>
      </c>
      <c r="I410" s="19" t="s">
        <v>173</v>
      </c>
      <c r="J410" s="28" t="s">
        <v>174</v>
      </c>
      <c r="K410" s="19" t="s">
        <v>175</v>
      </c>
    </row>
    <row r="411" spans="1:11" x14ac:dyDescent="0.45">
      <c r="A411" s="27" t="s">
        <v>60</v>
      </c>
      <c r="B411" s="27" t="s">
        <v>300</v>
      </c>
      <c r="C411" s="27" t="s">
        <v>164</v>
      </c>
      <c r="D411" s="27" t="s">
        <v>10</v>
      </c>
      <c r="E411" s="20" t="s">
        <v>172</v>
      </c>
      <c r="F411" s="20">
        <v>218</v>
      </c>
      <c r="G411" s="19">
        <v>31</v>
      </c>
      <c r="H411" s="19">
        <v>6758</v>
      </c>
      <c r="I411" s="19" t="s">
        <v>173</v>
      </c>
      <c r="J411" s="28" t="s">
        <v>174</v>
      </c>
      <c r="K411" s="19" t="s">
        <v>175</v>
      </c>
    </row>
    <row r="412" spans="1:11" x14ac:dyDescent="0.45">
      <c r="A412" s="27" t="s">
        <v>60</v>
      </c>
      <c r="B412" s="27" t="s">
        <v>299</v>
      </c>
      <c r="C412" s="27" t="s">
        <v>164</v>
      </c>
      <c r="D412" s="27" t="s">
        <v>10</v>
      </c>
      <c r="E412" s="20" t="s">
        <v>182</v>
      </c>
      <c r="F412" s="20">
        <v>168</v>
      </c>
      <c r="G412" s="19">
        <v>31</v>
      </c>
      <c r="H412" s="19">
        <v>5208</v>
      </c>
      <c r="I412" s="19" t="s">
        <v>180</v>
      </c>
      <c r="J412" s="28" t="s">
        <v>183</v>
      </c>
      <c r="K412" s="19" t="s">
        <v>184</v>
      </c>
    </row>
    <row r="413" spans="1:11" x14ac:dyDescent="0.45">
      <c r="A413" s="27" t="s">
        <v>60</v>
      </c>
      <c r="B413" s="27" t="s">
        <v>300</v>
      </c>
      <c r="C413" s="27" t="s">
        <v>164</v>
      </c>
      <c r="D413" s="27" t="s">
        <v>10</v>
      </c>
      <c r="E413" s="20" t="s">
        <v>182</v>
      </c>
      <c r="F413" s="20">
        <v>168</v>
      </c>
      <c r="G413" s="19">
        <v>31</v>
      </c>
      <c r="H413" s="19">
        <v>5208</v>
      </c>
      <c r="I413" s="19" t="s">
        <v>180</v>
      </c>
      <c r="J413" s="28" t="s">
        <v>183</v>
      </c>
      <c r="K413" s="19" t="s">
        <v>184</v>
      </c>
    </row>
    <row r="414" spans="1:11" x14ac:dyDescent="0.45">
      <c r="A414" s="27" t="s">
        <v>60</v>
      </c>
      <c r="B414" s="27" t="s">
        <v>313</v>
      </c>
      <c r="C414" s="27" t="s">
        <v>164</v>
      </c>
      <c r="D414" s="27" t="s">
        <v>10</v>
      </c>
      <c r="E414" s="20" t="s">
        <v>179</v>
      </c>
      <c r="F414" s="20">
        <v>198</v>
      </c>
      <c r="G414" s="19">
        <v>40</v>
      </c>
      <c r="H414" s="19">
        <v>7920</v>
      </c>
      <c r="I414" s="19" t="s">
        <v>180</v>
      </c>
      <c r="J414" s="28" t="s">
        <v>181</v>
      </c>
      <c r="K414" s="19" t="s">
        <v>121</v>
      </c>
    </row>
    <row r="415" spans="1:11" x14ac:dyDescent="0.45">
      <c r="A415" s="27" t="s">
        <v>60</v>
      </c>
      <c r="B415" s="27" t="s">
        <v>314</v>
      </c>
      <c r="C415" s="27" t="s">
        <v>164</v>
      </c>
      <c r="D415" s="27" t="s">
        <v>10</v>
      </c>
      <c r="E415" s="20" t="s">
        <v>179</v>
      </c>
      <c r="F415" s="20">
        <v>198</v>
      </c>
      <c r="G415" s="19">
        <v>39</v>
      </c>
      <c r="H415" s="19">
        <v>7722</v>
      </c>
      <c r="I415" s="19" t="s">
        <v>180</v>
      </c>
      <c r="J415" s="28" t="s">
        <v>181</v>
      </c>
      <c r="K415" s="19" t="s">
        <v>121</v>
      </c>
    </row>
    <row r="416" spans="1:11" x14ac:dyDescent="0.45">
      <c r="A416" s="27" t="s">
        <v>60</v>
      </c>
      <c r="B416" s="27" t="s">
        <v>299</v>
      </c>
      <c r="C416" s="27" t="s">
        <v>164</v>
      </c>
      <c r="D416" s="27" t="s">
        <v>10</v>
      </c>
      <c r="E416" s="20" t="s">
        <v>165</v>
      </c>
      <c r="F416" s="20">
        <v>210</v>
      </c>
      <c r="G416" s="19">
        <v>31</v>
      </c>
      <c r="H416" s="19">
        <v>6510</v>
      </c>
      <c r="I416" s="19" t="s">
        <v>166</v>
      </c>
      <c r="J416" s="28" t="s">
        <v>167</v>
      </c>
      <c r="K416" s="19" t="s">
        <v>168</v>
      </c>
    </row>
    <row r="417" spans="1:11" x14ac:dyDescent="0.45">
      <c r="A417" s="27" t="s">
        <v>60</v>
      </c>
      <c r="B417" s="27" t="s">
        <v>300</v>
      </c>
      <c r="C417" s="27" t="s">
        <v>164</v>
      </c>
      <c r="D417" s="27" t="s">
        <v>10</v>
      </c>
      <c r="E417" s="20" t="s">
        <v>165</v>
      </c>
      <c r="F417" s="20">
        <v>210</v>
      </c>
      <c r="G417" s="19">
        <v>31</v>
      </c>
      <c r="H417" s="19">
        <v>6510</v>
      </c>
      <c r="I417" s="19" t="s">
        <v>166</v>
      </c>
      <c r="J417" s="28" t="s">
        <v>167</v>
      </c>
      <c r="K417" s="19" t="s">
        <v>168</v>
      </c>
    </row>
    <row r="418" spans="1:11" x14ac:dyDescent="0.45">
      <c r="A418" s="27" t="s">
        <v>60</v>
      </c>
      <c r="B418" s="27" t="s">
        <v>299</v>
      </c>
      <c r="C418" s="27" t="s">
        <v>164</v>
      </c>
      <c r="D418" s="27" t="s">
        <v>46</v>
      </c>
      <c r="E418" s="20" t="s">
        <v>192</v>
      </c>
      <c r="F418" s="20">
        <v>125</v>
      </c>
      <c r="G418" s="19">
        <v>31</v>
      </c>
      <c r="H418" s="19">
        <v>3875</v>
      </c>
      <c r="I418" s="19" t="s">
        <v>193</v>
      </c>
      <c r="J418" s="28" t="s">
        <v>194</v>
      </c>
      <c r="K418" s="19" t="s">
        <v>195</v>
      </c>
    </row>
    <row r="419" spans="1:11" x14ac:dyDescent="0.45">
      <c r="A419" s="27" t="s">
        <v>60</v>
      </c>
      <c r="B419" s="27" t="s">
        <v>300</v>
      </c>
      <c r="C419" s="27" t="s">
        <v>164</v>
      </c>
      <c r="D419" s="27" t="s">
        <v>46</v>
      </c>
      <c r="E419" s="20" t="s">
        <v>192</v>
      </c>
      <c r="F419" s="20">
        <v>125</v>
      </c>
      <c r="G419" s="19">
        <v>31</v>
      </c>
      <c r="H419" s="19">
        <v>3875</v>
      </c>
      <c r="I419" s="19" t="s">
        <v>193</v>
      </c>
      <c r="J419" s="28" t="s">
        <v>194</v>
      </c>
      <c r="K419" s="19" t="s">
        <v>195</v>
      </c>
    </row>
    <row r="420" spans="1:11" x14ac:dyDescent="0.45">
      <c r="A420" s="27" t="s">
        <v>60</v>
      </c>
      <c r="B420" s="27" t="s">
        <v>313</v>
      </c>
      <c r="C420" s="27" t="s">
        <v>164</v>
      </c>
      <c r="D420" s="27" t="s">
        <v>46</v>
      </c>
      <c r="E420" s="20" t="s">
        <v>192</v>
      </c>
      <c r="F420" s="20">
        <v>125</v>
      </c>
      <c r="G420" s="19">
        <v>40</v>
      </c>
      <c r="H420" s="19">
        <v>5000</v>
      </c>
      <c r="I420" s="19" t="s">
        <v>193</v>
      </c>
      <c r="J420" s="28" t="s">
        <v>194</v>
      </c>
      <c r="K420" s="19" t="s">
        <v>195</v>
      </c>
    </row>
    <row r="421" spans="1:11" x14ac:dyDescent="0.45">
      <c r="A421" s="27" t="s">
        <v>60</v>
      </c>
      <c r="B421" s="27" t="s">
        <v>314</v>
      </c>
      <c r="C421" s="27" t="s">
        <v>164</v>
      </c>
      <c r="D421" s="27" t="s">
        <v>46</v>
      </c>
      <c r="E421" s="20" t="s">
        <v>192</v>
      </c>
      <c r="F421" s="20">
        <v>125</v>
      </c>
      <c r="G421" s="19">
        <v>39</v>
      </c>
      <c r="H421" s="19">
        <v>4875</v>
      </c>
      <c r="I421" s="19" t="s">
        <v>193</v>
      </c>
      <c r="J421" s="28" t="s">
        <v>194</v>
      </c>
      <c r="K421" s="19" t="s">
        <v>195</v>
      </c>
    </row>
    <row r="422" spans="1:11" x14ac:dyDescent="0.45">
      <c r="A422" s="27" t="s">
        <v>60</v>
      </c>
      <c r="B422" s="27" t="s">
        <v>301</v>
      </c>
      <c r="C422" s="27" t="s">
        <v>164</v>
      </c>
      <c r="D422" s="27" t="s">
        <v>46</v>
      </c>
      <c r="E422" s="20" t="s">
        <v>192</v>
      </c>
      <c r="F422" s="20">
        <v>125</v>
      </c>
      <c r="G422" s="19">
        <v>36</v>
      </c>
      <c r="H422" s="19">
        <v>4500</v>
      </c>
      <c r="I422" s="19" t="s">
        <v>193</v>
      </c>
      <c r="J422" s="28" t="s">
        <v>194</v>
      </c>
      <c r="K422" s="19" t="s">
        <v>195</v>
      </c>
    </row>
    <row r="423" spans="1:11" x14ac:dyDescent="0.45">
      <c r="A423" s="27" t="s">
        <v>60</v>
      </c>
      <c r="B423" s="27" t="s">
        <v>302</v>
      </c>
      <c r="C423" s="27" t="s">
        <v>164</v>
      </c>
      <c r="D423" s="27" t="s">
        <v>46</v>
      </c>
      <c r="E423" s="20" t="s">
        <v>192</v>
      </c>
      <c r="F423" s="20">
        <v>125</v>
      </c>
      <c r="G423" s="19">
        <v>36</v>
      </c>
      <c r="H423" s="19">
        <v>4500</v>
      </c>
      <c r="I423" s="19" t="s">
        <v>193</v>
      </c>
      <c r="J423" s="28" t="s">
        <v>194</v>
      </c>
      <c r="K423" s="19" t="s">
        <v>195</v>
      </c>
    </row>
    <row r="424" spans="1:11" x14ac:dyDescent="0.45">
      <c r="A424" s="27" t="s">
        <v>60</v>
      </c>
      <c r="B424" s="27" t="s">
        <v>303</v>
      </c>
      <c r="C424" s="27" t="s">
        <v>164</v>
      </c>
      <c r="D424" s="27" t="s">
        <v>46</v>
      </c>
      <c r="E424" s="20" t="s">
        <v>192</v>
      </c>
      <c r="F424" s="20">
        <v>125</v>
      </c>
      <c r="G424" s="19">
        <v>35</v>
      </c>
      <c r="H424" s="19">
        <v>4375</v>
      </c>
      <c r="I424" s="19" t="s">
        <v>193</v>
      </c>
      <c r="J424" s="28" t="s">
        <v>194</v>
      </c>
      <c r="K424" s="19" t="s">
        <v>195</v>
      </c>
    </row>
    <row r="425" spans="1:11" x14ac:dyDescent="0.45">
      <c r="A425" s="27" t="s">
        <v>60</v>
      </c>
      <c r="B425" s="27" t="s">
        <v>304</v>
      </c>
      <c r="C425" s="27" t="s">
        <v>164</v>
      </c>
      <c r="D425" s="27" t="s">
        <v>46</v>
      </c>
      <c r="E425" s="20" t="s">
        <v>192</v>
      </c>
      <c r="F425" s="20">
        <v>125</v>
      </c>
      <c r="G425" s="19">
        <v>37</v>
      </c>
      <c r="H425" s="19">
        <v>4625</v>
      </c>
      <c r="I425" s="19" t="s">
        <v>193</v>
      </c>
      <c r="J425" s="28" t="s">
        <v>194</v>
      </c>
      <c r="K425" s="19" t="s">
        <v>195</v>
      </c>
    </row>
    <row r="426" spans="1:11" x14ac:dyDescent="0.45">
      <c r="A426" s="27" t="s">
        <v>60</v>
      </c>
      <c r="B426" s="27" t="s">
        <v>305</v>
      </c>
      <c r="C426" s="27" t="s">
        <v>164</v>
      </c>
      <c r="D426" s="27" t="s">
        <v>46</v>
      </c>
      <c r="E426" s="20" t="s">
        <v>192</v>
      </c>
      <c r="F426" s="20">
        <v>125</v>
      </c>
      <c r="G426" s="19">
        <v>36</v>
      </c>
      <c r="H426" s="19">
        <v>4500</v>
      </c>
      <c r="I426" s="19" t="s">
        <v>193</v>
      </c>
      <c r="J426" s="28" t="s">
        <v>194</v>
      </c>
      <c r="K426" s="19" t="s">
        <v>195</v>
      </c>
    </row>
    <row r="427" spans="1:11" x14ac:dyDescent="0.45">
      <c r="A427" s="27" t="s">
        <v>60</v>
      </c>
      <c r="B427" s="27" t="s">
        <v>306</v>
      </c>
      <c r="C427" s="27" t="s">
        <v>164</v>
      </c>
      <c r="D427" s="27" t="s">
        <v>46</v>
      </c>
      <c r="E427" s="20" t="s">
        <v>192</v>
      </c>
      <c r="F427" s="20">
        <v>125</v>
      </c>
      <c r="G427" s="19">
        <v>34</v>
      </c>
      <c r="H427" s="19">
        <v>4250</v>
      </c>
      <c r="I427" s="19" t="s">
        <v>193</v>
      </c>
      <c r="J427" s="28" t="s">
        <v>194</v>
      </c>
      <c r="K427" s="19" t="s">
        <v>195</v>
      </c>
    </row>
    <row r="428" spans="1:11" x14ac:dyDescent="0.45">
      <c r="A428" s="27" t="s">
        <v>60</v>
      </c>
      <c r="B428" s="27" t="s">
        <v>307</v>
      </c>
      <c r="C428" s="27" t="s">
        <v>164</v>
      </c>
      <c r="D428" s="27" t="s">
        <v>46</v>
      </c>
      <c r="E428" s="20" t="s">
        <v>192</v>
      </c>
      <c r="F428" s="20">
        <v>125</v>
      </c>
      <c r="G428" s="19">
        <v>35</v>
      </c>
      <c r="H428" s="19">
        <v>4375</v>
      </c>
      <c r="I428" s="19" t="s">
        <v>193</v>
      </c>
      <c r="J428" s="28" t="s">
        <v>194</v>
      </c>
      <c r="K428" s="19" t="s">
        <v>195</v>
      </c>
    </row>
    <row r="429" spans="1:11" x14ac:dyDescent="0.45">
      <c r="A429" s="27" t="s">
        <v>60</v>
      </c>
      <c r="B429" s="27" t="s">
        <v>308</v>
      </c>
      <c r="C429" s="27" t="s">
        <v>164</v>
      </c>
      <c r="D429" s="27" t="s">
        <v>46</v>
      </c>
      <c r="E429" s="20" t="s">
        <v>192</v>
      </c>
      <c r="F429" s="20">
        <v>125</v>
      </c>
      <c r="G429" s="19">
        <v>35</v>
      </c>
      <c r="H429" s="19">
        <v>4375</v>
      </c>
      <c r="I429" s="19" t="s">
        <v>193</v>
      </c>
      <c r="J429" s="28" t="s">
        <v>194</v>
      </c>
      <c r="K429" s="19" t="s">
        <v>195</v>
      </c>
    </row>
    <row r="430" spans="1:11" x14ac:dyDescent="0.45">
      <c r="A430" s="27" t="s">
        <v>60</v>
      </c>
      <c r="B430" s="27" t="s">
        <v>309</v>
      </c>
      <c r="C430" s="27" t="s">
        <v>164</v>
      </c>
      <c r="D430" s="27" t="s">
        <v>46</v>
      </c>
      <c r="E430" s="20" t="s">
        <v>192</v>
      </c>
      <c r="F430" s="20">
        <v>125</v>
      </c>
      <c r="G430" s="19">
        <v>34</v>
      </c>
      <c r="H430" s="19">
        <v>4250</v>
      </c>
      <c r="I430" s="19" t="s">
        <v>193</v>
      </c>
      <c r="J430" s="28" t="s">
        <v>194</v>
      </c>
      <c r="K430" s="19" t="s">
        <v>195</v>
      </c>
    </row>
    <row r="431" spans="1:11" x14ac:dyDescent="0.45">
      <c r="A431" s="27" t="s">
        <v>60</v>
      </c>
      <c r="B431" s="27" t="s">
        <v>310</v>
      </c>
      <c r="C431" s="27" t="s">
        <v>164</v>
      </c>
      <c r="D431" s="27" t="s">
        <v>46</v>
      </c>
      <c r="E431" s="20" t="s">
        <v>192</v>
      </c>
      <c r="F431" s="20">
        <v>125</v>
      </c>
      <c r="G431" s="19">
        <v>34</v>
      </c>
      <c r="H431" s="19">
        <v>4250</v>
      </c>
      <c r="I431" s="19" t="s">
        <v>193</v>
      </c>
      <c r="J431" s="28" t="s">
        <v>194</v>
      </c>
      <c r="K431" s="19" t="s">
        <v>195</v>
      </c>
    </row>
    <row r="432" spans="1:11" x14ac:dyDescent="0.45">
      <c r="A432" s="27" t="s">
        <v>60</v>
      </c>
      <c r="B432" s="27" t="s">
        <v>311</v>
      </c>
      <c r="C432" s="27" t="s">
        <v>164</v>
      </c>
      <c r="D432" s="27" t="s">
        <v>46</v>
      </c>
      <c r="E432" s="20" t="s">
        <v>192</v>
      </c>
      <c r="F432" s="20">
        <v>125</v>
      </c>
      <c r="G432" s="19">
        <v>37</v>
      </c>
      <c r="H432" s="19">
        <v>4625</v>
      </c>
      <c r="I432" s="19" t="s">
        <v>193</v>
      </c>
      <c r="J432" s="28" t="s">
        <v>194</v>
      </c>
      <c r="K432" s="19" t="s">
        <v>195</v>
      </c>
    </row>
    <row r="433" spans="1:11" x14ac:dyDescent="0.45">
      <c r="A433" s="27" t="s">
        <v>60</v>
      </c>
      <c r="B433" s="27" t="s">
        <v>312</v>
      </c>
      <c r="C433" s="27" t="s">
        <v>164</v>
      </c>
      <c r="D433" s="27" t="s">
        <v>46</v>
      </c>
      <c r="E433" s="20" t="s">
        <v>192</v>
      </c>
      <c r="F433" s="20">
        <v>125</v>
      </c>
      <c r="G433" s="19">
        <v>34</v>
      </c>
      <c r="H433" s="19">
        <v>4250</v>
      </c>
      <c r="I433" s="19" t="s">
        <v>193</v>
      </c>
      <c r="J433" s="28" t="s">
        <v>194</v>
      </c>
      <c r="K433" s="19" t="s">
        <v>195</v>
      </c>
    </row>
    <row r="434" spans="1:11" x14ac:dyDescent="0.45">
      <c r="A434" s="27" t="s">
        <v>60</v>
      </c>
      <c r="B434" s="27" t="s">
        <v>315</v>
      </c>
      <c r="C434" s="27" t="s">
        <v>164</v>
      </c>
      <c r="D434" s="27" t="s">
        <v>46</v>
      </c>
      <c r="E434" s="20" t="s">
        <v>192</v>
      </c>
      <c r="F434" s="20">
        <v>125</v>
      </c>
      <c r="G434" s="19">
        <v>38</v>
      </c>
      <c r="H434" s="19">
        <v>4750</v>
      </c>
      <c r="I434" s="19" t="s">
        <v>193</v>
      </c>
      <c r="J434" s="28" t="s">
        <v>194</v>
      </c>
      <c r="K434" s="19" t="s">
        <v>195</v>
      </c>
    </row>
    <row r="435" spans="1:11" x14ac:dyDescent="0.45">
      <c r="A435" s="27" t="s">
        <v>60</v>
      </c>
      <c r="B435" s="27" t="s">
        <v>316</v>
      </c>
      <c r="C435" s="27" t="s">
        <v>164</v>
      </c>
      <c r="D435" s="27" t="s">
        <v>46</v>
      </c>
      <c r="E435" s="20" t="s">
        <v>192</v>
      </c>
      <c r="F435" s="20">
        <v>125</v>
      </c>
      <c r="G435" s="19">
        <v>38</v>
      </c>
      <c r="H435" s="19">
        <v>4750</v>
      </c>
      <c r="I435" s="19" t="s">
        <v>193</v>
      </c>
      <c r="J435" s="28" t="s">
        <v>194</v>
      </c>
      <c r="K435" s="19" t="s">
        <v>195</v>
      </c>
    </row>
    <row r="436" spans="1:11" x14ac:dyDescent="0.45">
      <c r="A436" s="27" t="s">
        <v>60</v>
      </c>
      <c r="B436" s="27" t="s">
        <v>301</v>
      </c>
      <c r="C436" s="27" t="s">
        <v>164</v>
      </c>
      <c r="D436" s="27" t="s">
        <v>61</v>
      </c>
      <c r="E436" s="20" t="s">
        <v>176</v>
      </c>
      <c r="F436" s="20">
        <v>240</v>
      </c>
      <c r="G436" s="19">
        <v>36</v>
      </c>
      <c r="H436" s="19">
        <v>8640</v>
      </c>
      <c r="I436" s="19" t="s">
        <v>24</v>
      </c>
      <c r="J436" s="28" t="s">
        <v>177</v>
      </c>
      <c r="K436" s="19" t="s">
        <v>178</v>
      </c>
    </row>
    <row r="437" spans="1:11" x14ac:dyDescent="0.45">
      <c r="A437" s="27" t="s">
        <v>60</v>
      </c>
      <c r="B437" s="27" t="s">
        <v>302</v>
      </c>
      <c r="C437" s="27" t="s">
        <v>164</v>
      </c>
      <c r="D437" s="27" t="s">
        <v>61</v>
      </c>
      <c r="E437" s="20" t="s">
        <v>176</v>
      </c>
      <c r="F437" s="20">
        <v>240</v>
      </c>
      <c r="G437" s="19">
        <v>36</v>
      </c>
      <c r="H437" s="19">
        <v>8640</v>
      </c>
      <c r="I437" s="19" t="s">
        <v>24</v>
      </c>
      <c r="J437" s="28" t="s">
        <v>177</v>
      </c>
      <c r="K437" s="19" t="s">
        <v>178</v>
      </c>
    </row>
    <row r="438" spans="1:11" x14ac:dyDescent="0.45">
      <c r="A438" s="27" t="s">
        <v>60</v>
      </c>
      <c r="B438" s="27" t="s">
        <v>303</v>
      </c>
      <c r="C438" s="27" t="s">
        <v>164</v>
      </c>
      <c r="D438" s="27" t="s">
        <v>61</v>
      </c>
      <c r="E438" s="20" t="s">
        <v>176</v>
      </c>
      <c r="F438" s="20">
        <v>240</v>
      </c>
      <c r="G438" s="19">
        <v>35</v>
      </c>
      <c r="H438" s="19">
        <v>8400</v>
      </c>
      <c r="I438" s="19" t="s">
        <v>24</v>
      </c>
      <c r="J438" s="28" t="s">
        <v>177</v>
      </c>
      <c r="K438" s="19" t="s">
        <v>178</v>
      </c>
    </row>
    <row r="439" spans="1:11" x14ac:dyDescent="0.45">
      <c r="A439" s="27" t="s">
        <v>60</v>
      </c>
      <c r="B439" s="27" t="s">
        <v>304</v>
      </c>
      <c r="C439" s="27" t="s">
        <v>164</v>
      </c>
      <c r="D439" s="27" t="s">
        <v>61</v>
      </c>
      <c r="E439" s="20" t="s">
        <v>176</v>
      </c>
      <c r="F439" s="20">
        <v>240</v>
      </c>
      <c r="G439" s="19">
        <v>36</v>
      </c>
      <c r="H439" s="19">
        <v>8640</v>
      </c>
      <c r="I439" s="19" t="s">
        <v>24</v>
      </c>
      <c r="J439" s="28" t="s">
        <v>177</v>
      </c>
      <c r="K439" s="19" t="s">
        <v>178</v>
      </c>
    </row>
    <row r="440" spans="1:11" x14ac:dyDescent="0.45">
      <c r="A440" s="27" t="s">
        <v>60</v>
      </c>
      <c r="B440" s="27" t="s">
        <v>305</v>
      </c>
      <c r="C440" s="27" t="s">
        <v>164</v>
      </c>
      <c r="D440" s="27" t="s">
        <v>61</v>
      </c>
      <c r="E440" s="20" t="s">
        <v>176</v>
      </c>
      <c r="F440" s="20">
        <v>240</v>
      </c>
      <c r="G440" s="19">
        <v>36</v>
      </c>
      <c r="H440" s="19">
        <v>8640</v>
      </c>
      <c r="I440" s="19" t="s">
        <v>24</v>
      </c>
      <c r="J440" s="28" t="s">
        <v>177</v>
      </c>
      <c r="K440" s="19" t="s">
        <v>178</v>
      </c>
    </row>
    <row r="441" spans="1:11" x14ac:dyDescent="0.45">
      <c r="A441" s="27" t="s">
        <v>60</v>
      </c>
      <c r="B441" s="27" t="s">
        <v>306</v>
      </c>
      <c r="C441" s="27" t="s">
        <v>164</v>
      </c>
      <c r="D441" s="27" t="s">
        <v>61</v>
      </c>
      <c r="E441" s="20" t="s">
        <v>176</v>
      </c>
      <c r="F441" s="20">
        <v>240</v>
      </c>
      <c r="G441" s="19">
        <v>34</v>
      </c>
      <c r="H441" s="19">
        <v>8160</v>
      </c>
      <c r="I441" s="19" t="s">
        <v>24</v>
      </c>
      <c r="J441" s="28" t="s">
        <v>177</v>
      </c>
      <c r="K441" s="19" t="s">
        <v>178</v>
      </c>
    </row>
    <row r="442" spans="1:11" x14ac:dyDescent="0.45">
      <c r="A442" s="27" t="s">
        <v>60</v>
      </c>
      <c r="B442" s="27" t="s">
        <v>307</v>
      </c>
      <c r="C442" s="27" t="s">
        <v>164</v>
      </c>
      <c r="D442" s="27" t="s">
        <v>61</v>
      </c>
      <c r="E442" s="20" t="s">
        <v>176</v>
      </c>
      <c r="F442" s="20">
        <v>240</v>
      </c>
      <c r="G442" s="19">
        <v>35</v>
      </c>
      <c r="H442" s="19">
        <v>8400</v>
      </c>
      <c r="I442" s="19" t="s">
        <v>24</v>
      </c>
      <c r="J442" s="28" t="s">
        <v>177</v>
      </c>
      <c r="K442" s="19" t="s">
        <v>178</v>
      </c>
    </row>
    <row r="443" spans="1:11" x14ac:dyDescent="0.45">
      <c r="A443" s="27" t="s">
        <v>60</v>
      </c>
      <c r="B443" s="27" t="s">
        <v>308</v>
      </c>
      <c r="C443" s="27" t="s">
        <v>164</v>
      </c>
      <c r="D443" s="27" t="s">
        <v>61</v>
      </c>
      <c r="E443" s="20" t="s">
        <v>176</v>
      </c>
      <c r="F443" s="20">
        <v>240</v>
      </c>
      <c r="G443" s="19">
        <v>35</v>
      </c>
      <c r="H443" s="19">
        <v>8400</v>
      </c>
      <c r="I443" s="19" t="s">
        <v>24</v>
      </c>
      <c r="J443" s="28" t="s">
        <v>177</v>
      </c>
      <c r="K443" s="19" t="s">
        <v>178</v>
      </c>
    </row>
    <row r="444" spans="1:11" x14ac:dyDescent="0.45">
      <c r="A444" s="27" t="s">
        <v>60</v>
      </c>
      <c r="B444" s="27" t="s">
        <v>309</v>
      </c>
      <c r="C444" s="27" t="s">
        <v>164</v>
      </c>
      <c r="D444" s="27" t="s">
        <v>61</v>
      </c>
      <c r="E444" s="20" t="s">
        <v>176</v>
      </c>
      <c r="F444" s="20">
        <v>240</v>
      </c>
      <c r="G444" s="19">
        <v>34</v>
      </c>
      <c r="H444" s="19">
        <v>8160</v>
      </c>
      <c r="I444" s="19" t="s">
        <v>24</v>
      </c>
      <c r="J444" s="28" t="s">
        <v>177</v>
      </c>
      <c r="K444" s="19" t="s">
        <v>178</v>
      </c>
    </row>
    <row r="445" spans="1:11" x14ac:dyDescent="0.45">
      <c r="A445" s="27" t="s">
        <v>60</v>
      </c>
      <c r="B445" s="27" t="s">
        <v>310</v>
      </c>
      <c r="C445" s="27" t="s">
        <v>164</v>
      </c>
      <c r="D445" s="27" t="s">
        <v>61</v>
      </c>
      <c r="E445" s="20" t="s">
        <v>176</v>
      </c>
      <c r="F445" s="20">
        <v>240</v>
      </c>
      <c r="G445" s="19">
        <v>34</v>
      </c>
      <c r="H445" s="19">
        <v>8160</v>
      </c>
      <c r="I445" s="19" t="s">
        <v>24</v>
      </c>
      <c r="J445" s="28" t="s">
        <v>177</v>
      </c>
      <c r="K445" s="19" t="s">
        <v>178</v>
      </c>
    </row>
    <row r="446" spans="1:11" x14ac:dyDescent="0.45">
      <c r="A446" s="27" t="s">
        <v>60</v>
      </c>
      <c r="B446" s="27" t="s">
        <v>311</v>
      </c>
      <c r="C446" s="27" t="s">
        <v>164</v>
      </c>
      <c r="D446" s="27" t="s">
        <v>61</v>
      </c>
      <c r="E446" s="20" t="s">
        <v>176</v>
      </c>
      <c r="F446" s="20">
        <v>240</v>
      </c>
      <c r="G446" s="19">
        <v>37</v>
      </c>
      <c r="H446" s="19">
        <v>8880</v>
      </c>
      <c r="I446" s="19" t="s">
        <v>24</v>
      </c>
      <c r="J446" s="28" t="s">
        <v>177</v>
      </c>
      <c r="K446" s="19" t="s">
        <v>178</v>
      </c>
    </row>
    <row r="447" spans="1:11" x14ac:dyDescent="0.45">
      <c r="A447" s="27" t="s">
        <v>60</v>
      </c>
      <c r="B447" s="27" t="s">
        <v>312</v>
      </c>
      <c r="C447" s="27" t="s">
        <v>164</v>
      </c>
      <c r="D447" s="27" t="s">
        <v>61</v>
      </c>
      <c r="E447" s="20" t="s">
        <v>176</v>
      </c>
      <c r="F447" s="20">
        <v>240</v>
      </c>
      <c r="G447" s="19">
        <v>34</v>
      </c>
      <c r="H447" s="19">
        <v>8160</v>
      </c>
      <c r="I447" s="19" t="s">
        <v>24</v>
      </c>
      <c r="J447" s="28" t="s">
        <v>177</v>
      </c>
      <c r="K447" s="19" t="s">
        <v>178</v>
      </c>
    </row>
    <row r="448" spans="1:11" x14ac:dyDescent="0.45">
      <c r="A448" s="27" t="s">
        <v>245</v>
      </c>
      <c r="B448" s="27" t="s">
        <v>333</v>
      </c>
      <c r="C448" s="27" t="s">
        <v>164</v>
      </c>
      <c r="D448" s="27" t="s">
        <v>61</v>
      </c>
      <c r="E448" s="20" t="s">
        <v>210</v>
      </c>
      <c r="F448" s="20">
        <v>210</v>
      </c>
      <c r="G448" s="19">
        <v>27</v>
      </c>
      <c r="H448" s="19">
        <v>5670</v>
      </c>
      <c r="I448" s="19" t="s">
        <v>211</v>
      </c>
      <c r="J448" s="28" t="s">
        <v>212</v>
      </c>
      <c r="K448" s="19" t="s">
        <v>213</v>
      </c>
    </row>
    <row r="449" spans="1:11" x14ac:dyDescent="0.45">
      <c r="A449" s="27" t="s">
        <v>60</v>
      </c>
      <c r="B449" s="27" t="s">
        <v>313</v>
      </c>
      <c r="C449" s="27" t="s">
        <v>164</v>
      </c>
      <c r="D449" s="27" t="s">
        <v>128</v>
      </c>
      <c r="E449" s="20" t="s">
        <v>189</v>
      </c>
      <c r="F449" s="20">
        <v>125</v>
      </c>
      <c r="G449" s="19">
        <v>40</v>
      </c>
      <c r="H449" s="19">
        <v>5000</v>
      </c>
      <c r="I449" s="19" t="s">
        <v>130</v>
      </c>
      <c r="J449" s="28" t="s">
        <v>190</v>
      </c>
      <c r="K449" s="19" t="s">
        <v>191</v>
      </c>
    </row>
    <row r="450" spans="1:11" x14ac:dyDescent="0.45">
      <c r="A450" s="27" t="s">
        <v>60</v>
      </c>
      <c r="B450" s="27" t="s">
        <v>314</v>
      </c>
      <c r="C450" s="27" t="s">
        <v>164</v>
      </c>
      <c r="D450" s="27" t="s">
        <v>128</v>
      </c>
      <c r="E450" s="20" t="s">
        <v>189</v>
      </c>
      <c r="F450" s="20">
        <v>125</v>
      </c>
      <c r="G450" s="19">
        <v>39</v>
      </c>
      <c r="H450" s="19">
        <v>4875</v>
      </c>
      <c r="I450" s="19" t="s">
        <v>130</v>
      </c>
      <c r="J450" s="28" t="s">
        <v>190</v>
      </c>
      <c r="K450" s="19" t="s">
        <v>191</v>
      </c>
    </row>
    <row r="451" spans="1:11" x14ac:dyDescent="0.45">
      <c r="A451" s="27" t="s">
        <v>60</v>
      </c>
      <c r="B451" s="27" t="s">
        <v>299</v>
      </c>
      <c r="C451" s="27" t="s">
        <v>164</v>
      </c>
      <c r="D451" s="27" t="s">
        <v>196</v>
      </c>
      <c r="E451" s="20" t="s">
        <v>197</v>
      </c>
      <c r="F451" s="20">
        <v>145</v>
      </c>
      <c r="G451" s="19">
        <v>31</v>
      </c>
      <c r="H451" s="19">
        <v>4495</v>
      </c>
      <c r="I451" s="19" t="s">
        <v>198</v>
      </c>
      <c r="J451" s="28" t="s">
        <v>90</v>
      </c>
    </row>
    <row r="452" spans="1:11" x14ac:dyDescent="0.45">
      <c r="A452" s="27" t="s">
        <v>60</v>
      </c>
      <c r="B452" s="27" t="s">
        <v>300</v>
      </c>
      <c r="C452" s="27" t="s">
        <v>164</v>
      </c>
      <c r="D452" s="27" t="s">
        <v>196</v>
      </c>
      <c r="E452" s="20" t="s">
        <v>197</v>
      </c>
      <c r="F452" s="20">
        <v>145</v>
      </c>
      <c r="G452" s="19">
        <v>31</v>
      </c>
      <c r="H452" s="19">
        <v>4495</v>
      </c>
      <c r="I452" s="19" t="s">
        <v>198</v>
      </c>
      <c r="J452" s="28" t="s">
        <v>90</v>
      </c>
    </row>
    <row r="453" spans="1:11" x14ac:dyDescent="0.45">
      <c r="A453" s="27" t="s">
        <v>60</v>
      </c>
      <c r="B453" s="27" t="s">
        <v>313</v>
      </c>
      <c r="C453" s="27" t="s">
        <v>164</v>
      </c>
      <c r="D453" s="27" t="s">
        <v>196</v>
      </c>
      <c r="E453" s="20" t="s">
        <v>197</v>
      </c>
      <c r="F453" s="20">
        <v>145</v>
      </c>
      <c r="G453" s="19">
        <v>40</v>
      </c>
      <c r="H453" s="19">
        <v>5800</v>
      </c>
      <c r="I453" s="19" t="s">
        <v>198</v>
      </c>
      <c r="J453" s="28" t="s">
        <v>90</v>
      </c>
    </row>
    <row r="454" spans="1:11" x14ac:dyDescent="0.45">
      <c r="A454" s="27" t="s">
        <v>60</v>
      </c>
      <c r="B454" s="27" t="s">
        <v>314</v>
      </c>
      <c r="C454" s="27" t="s">
        <v>164</v>
      </c>
      <c r="D454" s="27" t="s">
        <v>196</v>
      </c>
      <c r="E454" s="20" t="s">
        <v>197</v>
      </c>
      <c r="F454" s="20">
        <v>145</v>
      </c>
      <c r="G454" s="19">
        <v>39</v>
      </c>
      <c r="H454" s="19">
        <v>5655</v>
      </c>
      <c r="I454" s="19" t="s">
        <v>198</v>
      </c>
      <c r="J454" s="28" t="s">
        <v>90</v>
      </c>
    </row>
    <row r="455" spans="1:11" x14ac:dyDescent="0.45">
      <c r="A455" s="27" t="s">
        <v>60</v>
      </c>
      <c r="B455" s="27" t="s">
        <v>301</v>
      </c>
      <c r="C455" s="27" t="s">
        <v>164</v>
      </c>
      <c r="D455" s="27" t="s">
        <v>196</v>
      </c>
      <c r="E455" s="20" t="s">
        <v>197</v>
      </c>
      <c r="F455" s="20">
        <v>145</v>
      </c>
      <c r="G455" s="19">
        <v>36</v>
      </c>
      <c r="H455" s="19">
        <v>5220</v>
      </c>
      <c r="I455" s="19" t="s">
        <v>198</v>
      </c>
      <c r="J455" s="28" t="s">
        <v>90</v>
      </c>
    </row>
    <row r="456" spans="1:11" x14ac:dyDescent="0.45">
      <c r="A456" s="27" t="s">
        <v>60</v>
      </c>
      <c r="B456" s="27" t="s">
        <v>302</v>
      </c>
      <c r="C456" s="27" t="s">
        <v>164</v>
      </c>
      <c r="D456" s="27" t="s">
        <v>196</v>
      </c>
      <c r="E456" s="20" t="s">
        <v>197</v>
      </c>
      <c r="F456" s="20">
        <v>145</v>
      </c>
      <c r="G456" s="19">
        <v>36</v>
      </c>
      <c r="H456" s="19">
        <v>5220</v>
      </c>
      <c r="I456" s="19" t="s">
        <v>198</v>
      </c>
      <c r="J456" s="28" t="s">
        <v>90</v>
      </c>
    </row>
    <row r="457" spans="1:11" x14ac:dyDescent="0.45">
      <c r="A457" s="27" t="s">
        <v>60</v>
      </c>
      <c r="B457" s="27" t="s">
        <v>303</v>
      </c>
      <c r="C457" s="27" t="s">
        <v>164</v>
      </c>
      <c r="D457" s="27" t="s">
        <v>196</v>
      </c>
      <c r="E457" s="20" t="s">
        <v>197</v>
      </c>
      <c r="F457" s="20">
        <v>145</v>
      </c>
      <c r="G457" s="19">
        <v>30</v>
      </c>
      <c r="H457" s="19">
        <v>4350</v>
      </c>
      <c r="I457" s="19" t="s">
        <v>198</v>
      </c>
      <c r="J457" s="28" t="s">
        <v>90</v>
      </c>
    </row>
    <row r="458" spans="1:11" x14ac:dyDescent="0.45">
      <c r="A458" s="27" t="s">
        <v>60</v>
      </c>
      <c r="B458" s="27" t="s">
        <v>304</v>
      </c>
      <c r="C458" s="27" t="s">
        <v>164</v>
      </c>
      <c r="D458" s="27" t="s">
        <v>196</v>
      </c>
      <c r="E458" s="20" t="s">
        <v>197</v>
      </c>
      <c r="F458" s="20">
        <v>145</v>
      </c>
      <c r="G458" s="19">
        <v>30</v>
      </c>
      <c r="H458" s="19">
        <v>4350</v>
      </c>
      <c r="I458" s="19" t="s">
        <v>198</v>
      </c>
      <c r="J458" s="28" t="s">
        <v>90</v>
      </c>
    </row>
    <row r="459" spans="1:11" x14ac:dyDescent="0.45">
      <c r="A459" s="27" t="s">
        <v>60</v>
      </c>
      <c r="B459" s="27" t="s">
        <v>305</v>
      </c>
      <c r="C459" s="27" t="s">
        <v>164</v>
      </c>
      <c r="D459" s="27" t="s">
        <v>196</v>
      </c>
      <c r="E459" s="20" t="s">
        <v>197</v>
      </c>
      <c r="F459" s="20">
        <v>145</v>
      </c>
      <c r="G459" s="19">
        <v>36</v>
      </c>
      <c r="H459" s="19">
        <v>5220</v>
      </c>
      <c r="I459" s="19" t="s">
        <v>198</v>
      </c>
      <c r="J459" s="28" t="s">
        <v>90</v>
      </c>
    </row>
    <row r="460" spans="1:11" x14ac:dyDescent="0.45">
      <c r="A460" s="27" t="s">
        <v>60</v>
      </c>
      <c r="B460" s="27" t="s">
        <v>306</v>
      </c>
      <c r="C460" s="27" t="s">
        <v>164</v>
      </c>
      <c r="D460" s="27" t="s">
        <v>196</v>
      </c>
      <c r="E460" s="20" t="s">
        <v>197</v>
      </c>
      <c r="F460" s="20">
        <v>145</v>
      </c>
      <c r="G460" s="19">
        <v>34</v>
      </c>
      <c r="H460" s="19">
        <v>4930</v>
      </c>
      <c r="I460" s="19" t="s">
        <v>198</v>
      </c>
      <c r="J460" s="28" t="s">
        <v>90</v>
      </c>
    </row>
    <row r="461" spans="1:11" x14ac:dyDescent="0.45">
      <c r="A461" s="27" t="s">
        <v>60</v>
      </c>
      <c r="B461" s="27" t="s">
        <v>307</v>
      </c>
      <c r="C461" s="27" t="s">
        <v>164</v>
      </c>
      <c r="D461" s="27" t="s">
        <v>196</v>
      </c>
      <c r="E461" s="20" t="s">
        <v>197</v>
      </c>
      <c r="F461" s="20">
        <v>145</v>
      </c>
      <c r="G461" s="19">
        <v>35</v>
      </c>
      <c r="H461" s="19">
        <v>5075</v>
      </c>
      <c r="I461" s="19" t="s">
        <v>198</v>
      </c>
      <c r="J461" s="28" t="s">
        <v>90</v>
      </c>
    </row>
    <row r="462" spans="1:11" x14ac:dyDescent="0.45">
      <c r="A462" s="27" t="s">
        <v>60</v>
      </c>
      <c r="B462" s="27" t="s">
        <v>308</v>
      </c>
      <c r="C462" s="27" t="s">
        <v>164</v>
      </c>
      <c r="D462" s="27" t="s">
        <v>196</v>
      </c>
      <c r="E462" s="20" t="s">
        <v>197</v>
      </c>
      <c r="F462" s="20">
        <v>145</v>
      </c>
      <c r="G462" s="19">
        <v>35</v>
      </c>
      <c r="H462" s="19">
        <v>5075</v>
      </c>
      <c r="I462" s="19" t="s">
        <v>198</v>
      </c>
      <c r="J462" s="28" t="s">
        <v>90</v>
      </c>
    </row>
    <row r="463" spans="1:11" x14ac:dyDescent="0.45">
      <c r="A463" s="27" t="s">
        <v>60</v>
      </c>
      <c r="B463" s="27" t="s">
        <v>309</v>
      </c>
      <c r="C463" s="27" t="s">
        <v>164</v>
      </c>
      <c r="D463" s="27" t="s">
        <v>196</v>
      </c>
      <c r="E463" s="20" t="s">
        <v>197</v>
      </c>
      <c r="F463" s="20">
        <v>145</v>
      </c>
      <c r="G463" s="19">
        <v>34</v>
      </c>
      <c r="H463" s="19">
        <v>4930</v>
      </c>
      <c r="I463" s="19" t="s">
        <v>198</v>
      </c>
      <c r="J463" s="28" t="s">
        <v>90</v>
      </c>
    </row>
    <row r="464" spans="1:11" x14ac:dyDescent="0.45">
      <c r="A464" s="27" t="s">
        <v>60</v>
      </c>
      <c r="B464" s="27" t="s">
        <v>310</v>
      </c>
      <c r="C464" s="27" t="s">
        <v>164</v>
      </c>
      <c r="D464" s="27" t="s">
        <v>196</v>
      </c>
      <c r="E464" s="20" t="s">
        <v>197</v>
      </c>
      <c r="F464" s="20">
        <v>145</v>
      </c>
      <c r="G464" s="19">
        <v>34</v>
      </c>
      <c r="H464" s="19">
        <v>4930</v>
      </c>
      <c r="I464" s="19" t="s">
        <v>198</v>
      </c>
      <c r="J464" s="28" t="s">
        <v>90</v>
      </c>
    </row>
    <row r="465" spans="1:11" x14ac:dyDescent="0.45">
      <c r="A465" s="27" t="s">
        <v>60</v>
      </c>
      <c r="B465" s="27" t="s">
        <v>311</v>
      </c>
      <c r="C465" s="27" t="s">
        <v>164</v>
      </c>
      <c r="D465" s="27" t="s">
        <v>196</v>
      </c>
      <c r="E465" s="20" t="s">
        <v>197</v>
      </c>
      <c r="F465" s="20">
        <v>145</v>
      </c>
      <c r="G465" s="19">
        <v>37</v>
      </c>
      <c r="H465" s="19">
        <v>5365</v>
      </c>
      <c r="I465" s="19" t="s">
        <v>198</v>
      </c>
      <c r="J465" s="28" t="s">
        <v>90</v>
      </c>
    </row>
    <row r="466" spans="1:11" x14ac:dyDescent="0.45">
      <c r="A466" s="27" t="s">
        <v>60</v>
      </c>
      <c r="B466" s="27" t="s">
        <v>312</v>
      </c>
      <c r="C466" s="27" t="s">
        <v>164</v>
      </c>
      <c r="D466" s="27" t="s">
        <v>196</v>
      </c>
      <c r="E466" s="20" t="s">
        <v>197</v>
      </c>
      <c r="F466" s="20">
        <v>145</v>
      </c>
      <c r="G466" s="19">
        <v>34</v>
      </c>
      <c r="H466" s="19">
        <v>4930</v>
      </c>
      <c r="I466" s="19" t="s">
        <v>198</v>
      </c>
      <c r="J466" s="28" t="s">
        <v>90</v>
      </c>
    </row>
    <row r="467" spans="1:11" x14ac:dyDescent="0.45">
      <c r="A467" s="27" t="s">
        <v>60</v>
      </c>
      <c r="B467" s="27" t="s">
        <v>315</v>
      </c>
      <c r="C467" s="27" t="s">
        <v>164</v>
      </c>
      <c r="D467" s="27" t="s">
        <v>196</v>
      </c>
      <c r="E467" s="20" t="s">
        <v>197</v>
      </c>
      <c r="F467" s="20">
        <v>145</v>
      </c>
      <c r="G467" s="19">
        <v>37</v>
      </c>
      <c r="H467" s="19">
        <v>5365</v>
      </c>
      <c r="I467" s="19" t="s">
        <v>198</v>
      </c>
      <c r="J467" s="28" t="s">
        <v>90</v>
      </c>
    </row>
    <row r="468" spans="1:11" x14ac:dyDescent="0.45">
      <c r="A468" s="27" t="s">
        <v>60</v>
      </c>
      <c r="B468" s="27" t="s">
        <v>316</v>
      </c>
      <c r="C468" s="27" t="s">
        <v>164</v>
      </c>
      <c r="D468" s="27" t="s">
        <v>196</v>
      </c>
      <c r="E468" s="20" t="s">
        <v>197</v>
      </c>
      <c r="F468" s="20">
        <v>145</v>
      </c>
      <c r="G468" s="19">
        <v>38</v>
      </c>
      <c r="H468" s="19">
        <v>5510</v>
      </c>
      <c r="I468" s="19" t="s">
        <v>198</v>
      </c>
      <c r="J468" s="28" t="s">
        <v>90</v>
      </c>
    </row>
    <row r="469" spans="1:11" x14ac:dyDescent="0.45">
      <c r="A469" s="27" t="s">
        <v>245</v>
      </c>
      <c r="B469" s="27" t="s">
        <v>330</v>
      </c>
      <c r="C469" s="27" t="s">
        <v>164</v>
      </c>
      <c r="D469" s="27" t="s">
        <v>196</v>
      </c>
      <c r="E469" s="20" t="s">
        <v>197</v>
      </c>
      <c r="F469" s="20">
        <v>145</v>
      </c>
      <c r="G469" s="19">
        <v>28</v>
      </c>
      <c r="H469" s="19">
        <v>4060</v>
      </c>
      <c r="I469" s="19" t="s">
        <v>198</v>
      </c>
      <c r="J469" s="28" t="s">
        <v>90</v>
      </c>
    </row>
    <row r="470" spans="1:11" x14ac:dyDescent="0.45">
      <c r="A470" s="27" t="s">
        <v>245</v>
      </c>
      <c r="B470" s="27" t="s">
        <v>331</v>
      </c>
      <c r="C470" s="27" t="s">
        <v>164</v>
      </c>
      <c r="D470" s="27" t="s">
        <v>196</v>
      </c>
      <c r="E470" s="20" t="s">
        <v>197</v>
      </c>
      <c r="F470" s="20">
        <v>145</v>
      </c>
      <c r="G470" s="19">
        <v>29</v>
      </c>
      <c r="H470" s="19">
        <v>4205</v>
      </c>
      <c r="I470" s="19" t="s">
        <v>198</v>
      </c>
      <c r="J470" s="28" t="s">
        <v>90</v>
      </c>
    </row>
    <row r="471" spans="1:11" x14ac:dyDescent="0.45">
      <c r="A471" s="27" t="s">
        <v>245</v>
      </c>
      <c r="B471" s="27" t="s">
        <v>332</v>
      </c>
      <c r="C471" s="27" t="s">
        <v>164</v>
      </c>
      <c r="D471" s="27" t="s">
        <v>196</v>
      </c>
      <c r="E471" s="20" t="s">
        <v>197</v>
      </c>
      <c r="F471" s="20">
        <v>145</v>
      </c>
      <c r="G471" s="19">
        <v>26</v>
      </c>
      <c r="H471" s="19">
        <v>3770</v>
      </c>
      <c r="I471" s="19" t="s">
        <v>198</v>
      </c>
      <c r="J471" s="28" t="s">
        <v>90</v>
      </c>
    </row>
    <row r="472" spans="1:11" x14ac:dyDescent="0.45">
      <c r="A472" s="27" t="s">
        <v>245</v>
      </c>
      <c r="B472" s="27" t="s">
        <v>333</v>
      </c>
      <c r="C472" s="27" t="s">
        <v>164</v>
      </c>
      <c r="D472" s="27" t="s">
        <v>196</v>
      </c>
      <c r="E472" s="20" t="s">
        <v>197</v>
      </c>
      <c r="F472" s="20">
        <v>145</v>
      </c>
      <c r="G472" s="19">
        <v>27</v>
      </c>
      <c r="H472" s="19">
        <v>3915</v>
      </c>
      <c r="I472" s="19" t="s">
        <v>198</v>
      </c>
      <c r="J472" s="28" t="s">
        <v>90</v>
      </c>
    </row>
    <row r="473" spans="1:11" x14ac:dyDescent="0.45">
      <c r="A473" s="27" t="s">
        <v>245</v>
      </c>
      <c r="B473" s="27" t="s">
        <v>330</v>
      </c>
      <c r="C473" s="27" t="s">
        <v>164</v>
      </c>
      <c r="D473" s="27" t="s">
        <v>69</v>
      </c>
      <c r="E473" s="20" t="s">
        <v>241</v>
      </c>
      <c r="F473" s="20">
        <v>233</v>
      </c>
      <c r="G473" s="19">
        <v>28</v>
      </c>
      <c r="H473" s="19">
        <v>6524</v>
      </c>
      <c r="I473" s="19" t="s">
        <v>242</v>
      </c>
      <c r="J473" s="28" t="s">
        <v>243</v>
      </c>
      <c r="K473" s="19" t="s">
        <v>244</v>
      </c>
    </row>
    <row r="474" spans="1:11" x14ac:dyDescent="0.45">
      <c r="A474" s="27" t="s">
        <v>245</v>
      </c>
      <c r="B474" s="27" t="s">
        <v>331</v>
      </c>
      <c r="C474" s="27" t="s">
        <v>164</v>
      </c>
      <c r="D474" s="27" t="s">
        <v>69</v>
      </c>
      <c r="E474" s="20" t="s">
        <v>241</v>
      </c>
      <c r="F474" s="20">
        <v>233</v>
      </c>
      <c r="G474" s="19">
        <v>29</v>
      </c>
      <c r="H474" s="19">
        <v>6757</v>
      </c>
      <c r="I474" s="19" t="s">
        <v>242</v>
      </c>
      <c r="J474" s="28" t="s">
        <v>243</v>
      </c>
      <c r="K474" s="19" t="s">
        <v>244</v>
      </c>
    </row>
    <row r="475" spans="1:11" x14ac:dyDescent="0.45">
      <c r="A475" s="27" t="s">
        <v>245</v>
      </c>
      <c r="B475" s="27" t="s">
        <v>332</v>
      </c>
      <c r="C475" s="27" t="s">
        <v>164</v>
      </c>
      <c r="D475" s="27" t="s">
        <v>69</v>
      </c>
      <c r="E475" s="20" t="s">
        <v>241</v>
      </c>
      <c r="F475" s="20">
        <v>233</v>
      </c>
      <c r="G475" s="19">
        <v>26</v>
      </c>
      <c r="H475" s="19">
        <v>6058</v>
      </c>
      <c r="I475" s="19" t="s">
        <v>242</v>
      </c>
      <c r="J475" s="28" t="s">
        <v>243</v>
      </c>
      <c r="K475" s="19" t="s">
        <v>244</v>
      </c>
    </row>
    <row r="476" spans="1:11" x14ac:dyDescent="0.45">
      <c r="A476" s="27" t="s">
        <v>245</v>
      </c>
      <c r="B476" s="27" t="s">
        <v>333</v>
      </c>
      <c r="C476" s="27" t="s">
        <v>164</v>
      </c>
      <c r="D476" s="27" t="s">
        <v>69</v>
      </c>
      <c r="E476" s="20" t="s">
        <v>241</v>
      </c>
      <c r="F476" s="20">
        <v>233</v>
      </c>
      <c r="G476" s="19">
        <v>27</v>
      </c>
      <c r="H476" s="19">
        <v>6291</v>
      </c>
      <c r="I476" s="19" t="s">
        <v>242</v>
      </c>
      <c r="J476" s="28" t="s">
        <v>243</v>
      </c>
      <c r="K476" s="19" t="s">
        <v>244</v>
      </c>
    </row>
    <row r="477" spans="1:11" x14ac:dyDescent="0.45">
      <c r="A477" s="27" t="s">
        <v>245</v>
      </c>
      <c r="B477" s="27" t="s">
        <v>330</v>
      </c>
      <c r="C477" s="27" t="s">
        <v>164</v>
      </c>
      <c r="D477" s="27" t="s">
        <v>69</v>
      </c>
      <c r="E477" s="20" t="s">
        <v>238</v>
      </c>
      <c r="F477" s="20">
        <v>205</v>
      </c>
      <c r="G477" s="19">
        <v>28</v>
      </c>
      <c r="H477" s="19">
        <v>5740</v>
      </c>
      <c r="I477" s="19" t="s">
        <v>218</v>
      </c>
      <c r="J477" s="28" t="s">
        <v>239</v>
      </c>
      <c r="K477" s="19" t="s">
        <v>240</v>
      </c>
    </row>
    <row r="478" spans="1:11" x14ac:dyDescent="0.45">
      <c r="A478" s="27" t="s">
        <v>245</v>
      </c>
      <c r="B478" s="27" t="s">
        <v>331</v>
      </c>
      <c r="C478" s="27" t="s">
        <v>164</v>
      </c>
      <c r="D478" s="27" t="s">
        <v>69</v>
      </c>
      <c r="E478" s="20" t="s">
        <v>238</v>
      </c>
      <c r="F478" s="20">
        <v>205</v>
      </c>
      <c r="G478" s="19">
        <v>29</v>
      </c>
      <c r="H478" s="19">
        <v>5945</v>
      </c>
      <c r="I478" s="19" t="s">
        <v>218</v>
      </c>
      <c r="J478" s="28" t="s">
        <v>239</v>
      </c>
      <c r="K478" s="19" t="s">
        <v>240</v>
      </c>
    </row>
    <row r="479" spans="1:11" x14ac:dyDescent="0.45">
      <c r="A479" s="27" t="s">
        <v>245</v>
      </c>
      <c r="B479" s="27" t="s">
        <v>332</v>
      </c>
      <c r="C479" s="27" t="s">
        <v>164</v>
      </c>
      <c r="D479" s="27" t="s">
        <v>69</v>
      </c>
      <c r="E479" s="20" t="s">
        <v>238</v>
      </c>
      <c r="F479" s="20">
        <v>205</v>
      </c>
      <c r="G479" s="19">
        <v>26</v>
      </c>
      <c r="H479" s="19">
        <v>5330</v>
      </c>
      <c r="I479" s="19" t="s">
        <v>218</v>
      </c>
      <c r="J479" s="28" t="s">
        <v>239</v>
      </c>
      <c r="K479" s="19" t="s">
        <v>240</v>
      </c>
    </row>
    <row r="480" spans="1:11" x14ac:dyDescent="0.45">
      <c r="A480" s="27" t="s">
        <v>245</v>
      </c>
      <c r="B480" s="27" t="s">
        <v>333</v>
      </c>
      <c r="C480" s="27" t="s">
        <v>164</v>
      </c>
      <c r="D480" s="27" t="s">
        <v>69</v>
      </c>
      <c r="E480" s="20" t="s">
        <v>238</v>
      </c>
      <c r="F480" s="20">
        <v>205</v>
      </c>
      <c r="G480" s="19">
        <v>27</v>
      </c>
      <c r="H480" s="19">
        <v>5535</v>
      </c>
      <c r="I480" s="19" t="s">
        <v>218</v>
      </c>
      <c r="J480" s="28" t="s">
        <v>239</v>
      </c>
      <c r="K480" s="19" t="s">
        <v>240</v>
      </c>
    </row>
    <row r="481" spans="1:11" x14ac:dyDescent="0.45">
      <c r="A481" s="27" t="s">
        <v>60</v>
      </c>
      <c r="B481" s="27" t="s">
        <v>313</v>
      </c>
      <c r="C481" s="27" t="s">
        <v>164</v>
      </c>
      <c r="D481" s="27" t="s">
        <v>69</v>
      </c>
      <c r="E481" s="20" t="s">
        <v>185</v>
      </c>
      <c r="F481" s="20">
        <v>241</v>
      </c>
      <c r="G481" s="19">
        <v>40</v>
      </c>
      <c r="H481" s="19">
        <v>9640</v>
      </c>
      <c r="I481" s="19" t="s">
        <v>186</v>
      </c>
      <c r="J481" s="28" t="s">
        <v>187</v>
      </c>
      <c r="K481" s="19" t="s">
        <v>188</v>
      </c>
    </row>
    <row r="482" spans="1:11" x14ac:dyDescent="0.45">
      <c r="A482" s="27" t="s">
        <v>60</v>
      </c>
      <c r="B482" s="27" t="s">
        <v>314</v>
      </c>
      <c r="C482" s="27" t="s">
        <v>164</v>
      </c>
      <c r="D482" s="27" t="s">
        <v>69</v>
      </c>
      <c r="E482" s="20" t="s">
        <v>185</v>
      </c>
      <c r="F482" s="20">
        <v>241</v>
      </c>
      <c r="G482" s="19">
        <v>39</v>
      </c>
      <c r="H482" s="19">
        <v>9399</v>
      </c>
      <c r="I482" s="19" t="s">
        <v>186</v>
      </c>
      <c r="J482" s="28" t="s">
        <v>187</v>
      </c>
      <c r="K482" s="19" t="s">
        <v>188</v>
      </c>
    </row>
    <row r="483" spans="1:11" x14ac:dyDescent="0.45">
      <c r="A483" s="27" t="s">
        <v>60</v>
      </c>
      <c r="B483" s="27" t="s">
        <v>299</v>
      </c>
      <c r="C483" s="27" t="s">
        <v>164</v>
      </c>
      <c r="D483" s="27" t="s">
        <v>69</v>
      </c>
      <c r="E483" s="20" t="s">
        <v>169</v>
      </c>
      <c r="F483" s="20">
        <v>232</v>
      </c>
      <c r="G483" s="19">
        <v>31</v>
      </c>
      <c r="H483" s="19">
        <v>7192</v>
      </c>
      <c r="I483" s="19" t="s">
        <v>109</v>
      </c>
      <c r="J483" s="28" t="s">
        <v>170</v>
      </c>
      <c r="K483" s="19" t="s">
        <v>171</v>
      </c>
    </row>
    <row r="484" spans="1:11" x14ac:dyDescent="0.45">
      <c r="A484" s="27" t="s">
        <v>60</v>
      </c>
      <c r="B484" s="27" t="s">
        <v>300</v>
      </c>
      <c r="C484" s="27" t="s">
        <v>164</v>
      </c>
      <c r="D484" s="27" t="s">
        <v>69</v>
      </c>
      <c r="E484" s="20" t="s">
        <v>169</v>
      </c>
      <c r="F484" s="20">
        <v>232</v>
      </c>
      <c r="G484" s="19">
        <v>31</v>
      </c>
      <c r="H484" s="19">
        <v>7192</v>
      </c>
      <c r="I484" s="19" t="s">
        <v>109</v>
      </c>
      <c r="J484" s="28" t="s">
        <v>170</v>
      </c>
      <c r="K484" s="19" t="s">
        <v>171</v>
      </c>
    </row>
  </sheetData>
  <sortState ref="A2:K488">
    <sortCondition ref="C2:C488"/>
    <sortCondition ref="D2:D488"/>
    <sortCondition ref="E2:E488"/>
  </sortState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I105"/>
  <sheetViews>
    <sheetView workbookViewId="0">
      <selection activeCell="G22" sqref="G22"/>
    </sheetView>
  </sheetViews>
  <sheetFormatPr defaultRowHeight="15.45" x14ac:dyDescent="0.45"/>
  <cols>
    <col min="1" max="1" width="7" customWidth="1"/>
    <col min="2" max="2" width="19.1015625" customWidth="1"/>
    <col min="3" max="3" width="18" customWidth="1"/>
    <col min="4" max="4" width="9.41796875" customWidth="1"/>
    <col min="5" max="5" width="14.68359375" customWidth="1"/>
    <col min="6" max="7" width="5.5234375" customWidth="1"/>
    <col min="8" max="8" width="6" bestFit="1" customWidth="1"/>
    <col min="9" max="9" width="7.89453125" customWidth="1"/>
  </cols>
  <sheetData>
    <row r="3" spans="1:9" x14ac:dyDescent="0.45">
      <c r="A3" s="2"/>
      <c r="B3" s="2"/>
      <c r="C3" s="2"/>
      <c r="D3" s="2"/>
      <c r="E3" s="2"/>
      <c r="F3" s="2"/>
      <c r="G3" s="2"/>
      <c r="H3" s="88" t="s">
        <v>547</v>
      </c>
      <c r="I3" s="2"/>
    </row>
    <row r="4" spans="1:9" x14ac:dyDescent="0.45">
      <c r="A4" s="88" t="s">
        <v>56</v>
      </c>
      <c r="B4" s="88" t="s">
        <v>57</v>
      </c>
      <c r="C4" s="88" t="s">
        <v>1</v>
      </c>
      <c r="D4" s="88" t="s">
        <v>2</v>
      </c>
      <c r="E4" s="88" t="s">
        <v>3</v>
      </c>
      <c r="F4" s="88" t="s">
        <v>546</v>
      </c>
      <c r="G4" s="88" t="s">
        <v>54</v>
      </c>
      <c r="H4" s="89" t="s">
        <v>511</v>
      </c>
      <c r="I4" s="2" t="s">
        <v>521</v>
      </c>
    </row>
    <row r="5" spans="1:9" x14ac:dyDescent="0.45">
      <c r="A5" s="2" t="s">
        <v>10</v>
      </c>
      <c r="B5" s="2" t="s">
        <v>172</v>
      </c>
      <c r="C5" s="2" t="s">
        <v>173</v>
      </c>
      <c r="D5" s="2" t="s">
        <v>174</v>
      </c>
      <c r="E5" s="2" t="s">
        <v>175</v>
      </c>
      <c r="F5" s="2">
        <v>218</v>
      </c>
      <c r="G5" s="2" t="s">
        <v>60</v>
      </c>
      <c r="H5" s="90">
        <v>62</v>
      </c>
      <c r="I5" s="91">
        <v>13516</v>
      </c>
    </row>
    <row r="6" spans="1:9" x14ac:dyDescent="0.45">
      <c r="A6" s="2"/>
      <c r="B6" s="2" t="s">
        <v>23</v>
      </c>
      <c r="C6" s="2" t="s">
        <v>24</v>
      </c>
      <c r="D6" s="2" t="s">
        <v>25</v>
      </c>
      <c r="E6" s="2" t="s">
        <v>26</v>
      </c>
      <c r="F6" s="2">
        <v>232</v>
      </c>
      <c r="G6" s="2" t="s">
        <v>60</v>
      </c>
      <c r="H6" s="90">
        <v>232</v>
      </c>
      <c r="I6" s="91">
        <v>53824</v>
      </c>
    </row>
    <row r="7" spans="1:9" x14ac:dyDescent="0.45">
      <c r="A7" s="2"/>
      <c r="B7" s="2" t="s">
        <v>119</v>
      </c>
      <c r="C7" s="2" t="s">
        <v>24</v>
      </c>
      <c r="D7" s="2" t="s">
        <v>120</v>
      </c>
      <c r="E7" s="2" t="s">
        <v>121</v>
      </c>
      <c r="F7" s="2">
        <v>248</v>
      </c>
      <c r="G7" s="2" t="s">
        <v>60</v>
      </c>
      <c r="H7" s="90">
        <v>246</v>
      </c>
      <c r="I7" s="91">
        <v>61008</v>
      </c>
    </row>
    <row r="8" spans="1:9" x14ac:dyDescent="0.45">
      <c r="A8" s="2"/>
      <c r="B8" s="2" t="s">
        <v>11</v>
      </c>
      <c r="C8" s="2" t="s">
        <v>12</v>
      </c>
      <c r="D8" s="2" t="s">
        <v>13</v>
      </c>
      <c r="E8" s="2" t="s">
        <v>14</v>
      </c>
      <c r="F8" s="2">
        <v>228</v>
      </c>
      <c r="G8" s="2" t="s">
        <v>60</v>
      </c>
      <c r="H8" s="90">
        <v>154</v>
      </c>
      <c r="I8" s="91">
        <v>35112</v>
      </c>
    </row>
    <row r="9" spans="1:9" x14ac:dyDescent="0.45">
      <c r="A9" s="2"/>
      <c r="B9" s="2" t="s">
        <v>104</v>
      </c>
      <c r="C9" s="2" t="s">
        <v>105</v>
      </c>
      <c r="D9" s="2" t="s">
        <v>106</v>
      </c>
      <c r="E9" s="2" t="s">
        <v>107</v>
      </c>
      <c r="F9" s="2">
        <v>220</v>
      </c>
      <c r="G9" s="2" t="s">
        <v>60</v>
      </c>
      <c r="H9" s="90">
        <v>163</v>
      </c>
      <c r="I9" s="91">
        <v>35860</v>
      </c>
    </row>
    <row r="10" spans="1:9" x14ac:dyDescent="0.45">
      <c r="A10" s="2"/>
      <c r="B10" s="2" t="s">
        <v>182</v>
      </c>
      <c r="C10" s="2" t="s">
        <v>180</v>
      </c>
      <c r="D10" s="2" t="s">
        <v>183</v>
      </c>
      <c r="E10" s="2" t="s">
        <v>184</v>
      </c>
      <c r="F10" s="2">
        <v>168</v>
      </c>
      <c r="G10" s="2" t="s">
        <v>60</v>
      </c>
      <c r="H10" s="90">
        <v>62</v>
      </c>
      <c r="I10" s="91">
        <v>10416</v>
      </c>
    </row>
    <row r="11" spans="1:9" x14ac:dyDescent="0.45">
      <c r="A11" s="2"/>
      <c r="B11" s="2" t="s">
        <v>179</v>
      </c>
      <c r="C11" s="2" t="s">
        <v>180</v>
      </c>
      <c r="D11" s="2" t="s">
        <v>181</v>
      </c>
      <c r="E11" s="2" t="s">
        <v>121</v>
      </c>
      <c r="F11" s="2">
        <v>198</v>
      </c>
      <c r="G11" s="2" t="s">
        <v>60</v>
      </c>
      <c r="H11" s="90">
        <v>79</v>
      </c>
      <c r="I11" s="91">
        <v>15642</v>
      </c>
    </row>
    <row r="12" spans="1:9" x14ac:dyDescent="0.45">
      <c r="A12" s="2"/>
      <c r="B12" s="2" t="s">
        <v>165</v>
      </c>
      <c r="C12" s="2" t="s">
        <v>166</v>
      </c>
      <c r="D12" s="2" t="s">
        <v>167</v>
      </c>
      <c r="E12" s="2" t="s">
        <v>168</v>
      </c>
      <c r="F12" s="2">
        <v>210</v>
      </c>
      <c r="G12" s="2" t="s">
        <v>60</v>
      </c>
      <c r="H12" s="90">
        <v>62</v>
      </c>
      <c r="I12" s="91">
        <v>13020</v>
      </c>
    </row>
    <row r="13" spans="1:9" x14ac:dyDescent="0.45">
      <c r="A13" s="2" t="s">
        <v>247</v>
      </c>
      <c r="B13" s="2"/>
      <c r="C13" s="2"/>
      <c r="D13" s="2"/>
      <c r="E13" s="2"/>
      <c r="F13" s="2"/>
      <c r="G13" s="2"/>
      <c r="H13" s="90">
        <v>1060</v>
      </c>
      <c r="I13" s="91">
        <v>238398</v>
      </c>
    </row>
    <row r="14" spans="1:9" x14ac:dyDescent="0.45">
      <c r="A14" s="2"/>
      <c r="B14" s="2"/>
      <c r="C14" s="2"/>
      <c r="D14" s="2"/>
      <c r="E14" s="2"/>
      <c r="F14" s="2"/>
      <c r="G14" s="2"/>
      <c r="H14" s="90"/>
      <c r="I14" s="91"/>
    </row>
    <row r="15" spans="1:9" x14ac:dyDescent="0.45">
      <c r="A15" s="2" t="s">
        <v>87</v>
      </c>
      <c r="B15" s="2" t="s">
        <v>98</v>
      </c>
      <c r="C15" s="2" t="s">
        <v>99</v>
      </c>
      <c r="D15" s="2" t="s">
        <v>100</v>
      </c>
      <c r="E15" s="2" t="s">
        <v>101</v>
      </c>
      <c r="F15" s="2">
        <v>331</v>
      </c>
      <c r="G15" s="2" t="s">
        <v>60</v>
      </c>
      <c r="H15" s="90">
        <v>77</v>
      </c>
      <c r="I15" s="91">
        <v>25487</v>
      </c>
    </row>
    <row r="16" spans="1:9" x14ac:dyDescent="0.45">
      <c r="A16" s="2"/>
      <c r="B16" s="2" t="s">
        <v>88</v>
      </c>
      <c r="C16" s="2" t="s">
        <v>89</v>
      </c>
      <c r="D16" s="2" t="s">
        <v>90</v>
      </c>
      <c r="E16" s="2" t="s">
        <v>262</v>
      </c>
      <c r="F16" s="2">
        <v>200</v>
      </c>
      <c r="G16" s="2" t="s">
        <v>60</v>
      </c>
      <c r="H16" s="90">
        <v>159</v>
      </c>
      <c r="I16" s="91">
        <v>31800</v>
      </c>
    </row>
    <row r="17" spans="1:9" x14ac:dyDescent="0.45">
      <c r="A17" s="2" t="s">
        <v>248</v>
      </c>
      <c r="B17" s="2"/>
      <c r="C17" s="2"/>
      <c r="D17" s="2"/>
      <c r="E17" s="2"/>
      <c r="F17" s="2"/>
      <c r="G17" s="2"/>
      <c r="H17" s="90">
        <v>236</v>
      </c>
      <c r="I17" s="91">
        <v>57287</v>
      </c>
    </row>
    <row r="18" spans="1:9" x14ac:dyDescent="0.45">
      <c r="A18" s="2"/>
      <c r="B18" s="2"/>
      <c r="C18" s="2"/>
      <c r="D18" s="2"/>
      <c r="E18" s="2"/>
      <c r="F18" s="2"/>
      <c r="G18" s="2"/>
      <c r="H18" s="90"/>
      <c r="I18" s="91"/>
    </row>
    <row r="19" spans="1:9" x14ac:dyDescent="0.45">
      <c r="A19" s="2" t="s">
        <v>161</v>
      </c>
      <c r="B19" s="2" t="s">
        <v>235</v>
      </c>
      <c r="C19" s="2" t="s">
        <v>236</v>
      </c>
      <c r="D19" s="2" t="s">
        <v>90</v>
      </c>
      <c r="E19" s="2" t="s">
        <v>262</v>
      </c>
      <c r="F19" s="2">
        <v>150</v>
      </c>
      <c r="G19" s="2" t="s">
        <v>245</v>
      </c>
      <c r="H19" s="90">
        <v>96</v>
      </c>
      <c r="I19" s="91">
        <v>14400</v>
      </c>
    </row>
    <row r="20" spans="1:9" x14ac:dyDescent="0.45">
      <c r="A20" s="2"/>
      <c r="B20" s="2" t="s">
        <v>47</v>
      </c>
      <c r="C20" s="2" t="s">
        <v>214</v>
      </c>
      <c r="D20" s="2" t="s">
        <v>215</v>
      </c>
      <c r="E20" s="2" t="s">
        <v>216</v>
      </c>
      <c r="F20" s="2">
        <v>160</v>
      </c>
      <c r="G20" s="2" t="s">
        <v>245</v>
      </c>
      <c r="H20" s="90">
        <v>78</v>
      </c>
      <c r="I20" s="91">
        <v>12480</v>
      </c>
    </row>
    <row r="21" spans="1:9" x14ac:dyDescent="0.45">
      <c r="A21" s="2"/>
      <c r="B21" s="2" t="s">
        <v>162</v>
      </c>
      <c r="C21" s="2" t="s">
        <v>163</v>
      </c>
      <c r="D21" s="2" t="s">
        <v>90</v>
      </c>
      <c r="E21" s="2" t="s">
        <v>262</v>
      </c>
      <c r="F21" s="2">
        <v>160</v>
      </c>
      <c r="G21" s="2" t="s">
        <v>60</v>
      </c>
      <c r="H21" s="90">
        <v>545</v>
      </c>
      <c r="I21" s="91">
        <v>87200</v>
      </c>
    </row>
    <row r="22" spans="1:9" x14ac:dyDescent="0.45">
      <c r="A22" s="2"/>
      <c r="B22" s="2"/>
      <c r="C22" s="2"/>
      <c r="D22" s="2"/>
      <c r="E22" s="2"/>
      <c r="F22" s="2"/>
      <c r="G22" s="2" t="s">
        <v>245</v>
      </c>
      <c r="H22" s="90">
        <v>96</v>
      </c>
      <c r="I22" s="91">
        <v>15360</v>
      </c>
    </row>
    <row r="23" spans="1:9" x14ac:dyDescent="0.45">
      <c r="A23" s="2" t="s">
        <v>249</v>
      </c>
      <c r="B23" s="2"/>
      <c r="C23" s="2"/>
      <c r="D23" s="2"/>
      <c r="E23" s="2"/>
      <c r="F23" s="2"/>
      <c r="G23" s="2"/>
      <c r="H23" s="90">
        <v>815</v>
      </c>
      <c r="I23" s="91">
        <v>129440</v>
      </c>
    </row>
    <row r="24" spans="1:9" x14ac:dyDescent="0.45">
      <c r="A24" s="2"/>
      <c r="B24" s="2"/>
      <c r="C24" s="2"/>
      <c r="D24" s="2"/>
      <c r="E24" s="2"/>
      <c r="F24" s="2"/>
      <c r="G24" s="2"/>
      <c r="H24" s="90"/>
      <c r="I24" s="91"/>
    </row>
    <row r="25" spans="1:9" x14ac:dyDescent="0.45">
      <c r="A25" s="2" t="s">
        <v>32</v>
      </c>
      <c r="B25" s="2" t="s">
        <v>33</v>
      </c>
      <c r="C25" s="2" t="s">
        <v>34</v>
      </c>
      <c r="D25" s="2" t="s">
        <v>35</v>
      </c>
      <c r="E25" s="2" t="s">
        <v>36</v>
      </c>
      <c r="F25" s="2">
        <v>262</v>
      </c>
      <c r="G25" s="2" t="s">
        <v>60</v>
      </c>
      <c r="H25" s="90">
        <v>154</v>
      </c>
      <c r="I25" s="91">
        <v>40348</v>
      </c>
    </row>
    <row r="26" spans="1:9" x14ac:dyDescent="0.45">
      <c r="A26" s="2" t="s">
        <v>250</v>
      </c>
      <c r="B26" s="2"/>
      <c r="C26" s="2"/>
      <c r="D26" s="2"/>
      <c r="E26" s="2"/>
      <c r="F26" s="2"/>
      <c r="G26" s="2"/>
      <c r="H26" s="90">
        <v>154</v>
      </c>
      <c r="I26" s="91">
        <v>40348</v>
      </c>
    </row>
    <row r="27" spans="1:9" x14ac:dyDescent="0.45">
      <c r="A27" s="2"/>
      <c r="B27" s="2"/>
      <c r="C27" s="2"/>
      <c r="D27" s="2"/>
      <c r="E27" s="2"/>
      <c r="F27" s="2"/>
      <c r="G27" s="2"/>
      <c r="H27" s="90"/>
      <c r="I27" s="91"/>
    </row>
    <row r="28" spans="1:9" x14ac:dyDescent="0.45">
      <c r="A28" s="2" t="s">
        <v>46</v>
      </c>
      <c r="B28" s="2" t="s">
        <v>50</v>
      </c>
      <c r="C28" s="2" t="s">
        <v>51</v>
      </c>
      <c r="D28" s="2" t="s">
        <v>52</v>
      </c>
      <c r="E28" s="2" t="s">
        <v>53</v>
      </c>
      <c r="F28" s="2">
        <v>155</v>
      </c>
      <c r="G28" s="2" t="s">
        <v>60</v>
      </c>
      <c r="H28" s="90">
        <v>699</v>
      </c>
      <c r="I28" s="91">
        <v>108345</v>
      </c>
    </row>
    <row r="29" spans="1:9" x14ac:dyDescent="0.45">
      <c r="A29" s="2"/>
      <c r="B29" s="2"/>
      <c r="C29" s="2"/>
      <c r="D29" s="2"/>
      <c r="E29" s="2"/>
      <c r="F29" s="2"/>
      <c r="G29" s="2" t="s">
        <v>245</v>
      </c>
      <c r="H29" s="90">
        <v>78</v>
      </c>
      <c r="I29" s="91">
        <v>12090</v>
      </c>
    </row>
    <row r="30" spans="1:9" x14ac:dyDescent="0.45">
      <c r="A30" s="2"/>
      <c r="B30" s="2" t="s">
        <v>47</v>
      </c>
      <c r="C30" s="2" t="s">
        <v>48</v>
      </c>
      <c r="D30" s="2" t="s">
        <v>49</v>
      </c>
      <c r="E30" s="2" t="s">
        <v>102</v>
      </c>
      <c r="F30" s="2">
        <v>168</v>
      </c>
      <c r="G30" s="2" t="s">
        <v>60</v>
      </c>
      <c r="H30" s="90">
        <v>699</v>
      </c>
      <c r="I30" s="91">
        <v>117432</v>
      </c>
    </row>
    <row r="31" spans="1:9" x14ac:dyDescent="0.45">
      <c r="A31" s="2"/>
      <c r="B31" s="2" t="s">
        <v>192</v>
      </c>
      <c r="C31" s="2" t="s">
        <v>193</v>
      </c>
      <c r="D31" s="2" t="s">
        <v>194</v>
      </c>
      <c r="E31" s="2" t="s">
        <v>195</v>
      </c>
      <c r="F31" s="2">
        <v>125</v>
      </c>
      <c r="G31" s="2" t="s">
        <v>60</v>
      </c>
      <c r="H31" s="90">
        <v>640</v>
      </c>
      <c r="I31" s="91">
        <v>80000</v>
      </c>
    </row>
    <row r="32" spans="1:9" x14ac:dyDescent="0.45">
      <c r="A32" s="2" t="s">
        <v>251</v>
      </c>
      <c r="B32" s="2"/>
      <c r="C32" s="2"/>
      <c r="D32" s="2"/>
      <c r="E32" s="2"/>
      <c r="F32" s="2"/>
      <c r="G32" s="2"/>
      <c r="H32" s="90">
        <v>2116</v>
      </c>
      <c r="I32" s="91">
        <v>317867</v>
      </c>
    </row>
    <row r="33" spans="1:9" x14ac:dyDescent="0.45">
      <c r="A33" s="2"/>
      <c r="B33" s="2"/>
      <c r="C33" s="2"/>
      <c r="D33" s="2"/>
      <c r="E33" s="2"/>
      <c r="F33" s="2"/>
      <c r="G33" s="2"/>
      <c r="H33" s="90"/>
      <c r="I33" s="91"/>
    </row>
    <row r="34" spans="1:9" x14ac:dyDescent="0.45">
      <c r="A34" s="2" t="s">
        <v>61</v>
      </c>
      <c r="B34" s="2" t="s">
        <v>199</v>
      </c>
      <c r="C34" s="2" t="s">
        <v>200</v>
      </c>
      <c r="D34" s="2" t="s">
        <v>201</v>
      </c>
      <c r="E34" s="2" t="s">
        <v>202</v>
      </c>
      <c r="F34" s="2">
        <v>160</v>
      </c>
      <c r="G34" s="2" t="s">
        <v>245</v>
      </c>
      <c r="H34" s="90">
        <v>78</v>
      </c>
      <c r="I34" s="91">
        <v>12480</v>
      </c>
    </row>
    <row r="35" spans="1:9" x14ac:dyDescent="0.45">
      <c r="A35" s="2"/>
      <c r="B35" s="2" t="s">
        <v>66</v>
      </c>
      <c r="C35" s="2" t="s">
        <v>24</v>
      </c>
      <c r="D35" s="2" t="s">
        <v>67</v>
      </c>
      <c r="E35" s="2" t="s">
        <v>68</v>
      </c>
      <c r="F35" s="2">
        <v>210</v>
      </c>
      <c r="G35" s="2" t="s">
        <v>60</v>
      </c>
      <c r="H35" s="90">
        <v>467</v>
      </c>
      <c r="I35" s="91">
        <v>98070</v>
      </c>
    </row>
    <row r="36" spans="1:9" x14ac:dyDescent="0.45">
      <c r="A36" s="2"/>
      <c r="B36" s="2" t="s">
        <v>176</v>
      </c>
      <c r="C36" s="2" t="s">
        <v>24</v>
      </c>
      <c r="D36" s="2" t="s">
        <v>177</v>
      </c>
      <c r="E36" s="2" t="s">
        <v>178</v>
      </c>
      <c r="F36" s="2">
        <v>240</v>
      </c>
      <c r="G36" s="2" t="s">
        <v>60</v>
      </c>
      <c r="H36" s="90">
        <v>422</v>
      </c>
      <c r="I36" s="91">
        <v>101280</v>
      </c>
    </row>
    <row r="37" spans="1:9" x14ac:dyDescent="0.45">
      <c r="A37" s="2"/>
      <c r="B37" s="2" t="s">
        <v>122</v>
      </c>
      <c r="C37" s="2" t="s">
        <v>24</v>
      </c>
      <c r="D37" s="2" t="s">
        <v>123</v>
      </c>
      <c r="E37" s="2" t="s">
        <v>124</v>
      </c>
      <c r="F37" s="2">
        <v>230</v>
      </c>
      <c r="G37" s="2" t="s">
        <v>60</v>
      </c>
      <c r="H37" s="90">
        <v>464</v>
      </c>
      <c r="I37" s="91">
        <v>106720</v>
      </c>
    </row>
    <row r="38" spans="1:9" x14ac:dyDescent="0.45">
      <c r="A38" s="2"/>
      <c r="B38" s="2" t="s">
        <v>62</v>
      </c>
      <c r="C38" s="2" t="s">
        <v>63</v>
      </c>
      <c r="D38" s="2" t="s">
        <v>64</v>
      </c>
      <c r="E38" s="2" t="s">
        <v>65</v>
      </c>
      <c r="F38" s="2">
        <v>240</v>
      </c>
      <c r="G38" s="2" t="s">
        <v>60</v>
      </c>
      <c r="H38" s="90">
        <v>545</v>
      </c>
      <c r="I38" s="91">
        <v>130800</v>
      </c>
    </row>
    <row r="39" spans="1:9" x14ac:dyDescent="0.45">
      <c r="A39" s="2"/>
      <c r="B39" s="2"/>
      <c r="C39" s="2"/>
      <c r="D39" s="2"/>
      <c r="E39" s="2"/>
      <c r="F39" s="2"/>
      <c r="G39" s="2" t="s">
        <v>245</v>
      </c>
      <c r="H39" s="90">
        <v>78</v>
      </c>
      <c r="I39" s="91">
        <v>18720</v>
      </c>
    </row>
    <row r="40" spans="1:9" x14ac:dyDescent="0.45">
      <c r="A40" s="2"/>
      <c r="B40" s="2" t="s">
        <v>210</v>
      </c>
      <c r="C40" s="2" t="s">
        <v>211</v>
      </c>
      <c r="D40" s="2" t="s">
        <v>212</v>
      </c>
      <c r="E40" s="2" t="s">
        <v>213</v>
      </c>
      <c r="F40" s="2">
        <v>210</v>
      </c>
      <c r="G40" s="2" t="s">
        <v>245</v>
      </c>
      <c r="H40" s="90">
        <v>98</v>
      </c>
      <c r="I40" s="91">
        <v>20580</v>
      </c>
    </row>
    <row r="41" spans="1:9" x14ac:dyDescent="0.45">
      <c r="A41" s="2" t="s">
        <v>252</v>
      </c>
      <c r="B41" s="2"/>
      <c r="C41" s="2"/>
      <c r="D41" s="2"/>
      <c r="E41" s="2"/>
      <c r="F41" s="2"/>
      <c r="G41" s="2"/>
      <c r="H41" s="90">
        <v>2152</v>
      </c>
      <c r="I41" s="91">
        <v>488650</v>
      </c>
    </row>
    <row r="42" spans="1:9" x14ac:dyDescent="0.45">
      <c r="A42" s="2"/>
      <c r="B42" s="2"/>
      <c r="C42" s="2"/>
      <c r="D42" s="2"/>
      <c r="E42" s="2"/>
      <c r="F42" s="2"/>
      <c r="G42" s="2"/>
      <c r="H42" s="90"/>
      <c r="I42" s="91"/>
    </row>
    <row r="43" spans="1:9" x14ac:dyDescent="0.45">
      <c r="A43" s="2" t="s">
        <v>74</v>
      </c>
      <c r="B43" s="2" t="s">
        <v>83</v>
      </c>
      <c r="C43" s="2" t="s">
        <v>84</v>
      </c>
      <c r="D43" s="2" t="s">
        <v>85</v>
      </c>
      <c r="E43" s="2" t="s">
        <v>86</v>
      </c>
      <c r="F43" s="2">
        <v>200</v>
      </c>
      <c r="G43" s="2" t="s">
        <v>60</v>
      </c>
      <c r="H43" s="90">
        <v>468</v>
      </c>
      <c r="I43" s="91">
        <v>93600</v>
      </c>
    </row>
    <row r="44" spans="1:9" x14ac:dyDescent="0.45">
      <c r="A44" s="2"/>
      <c r="B44" s="2"/>
      <c r="C44" s="2"/>
      <c r="D44" s="2"/>
      <c r="E44" s="2"/>
      <c r="F44" s="2"/>
      <c r="G44" s="2" t="s">
        <v>245</v>
      </c>
      <c r="H44" s="90">
        <v>78</v>
      </c>
      <c r="I44" s="91">
        <v>15600</v>
      </c>
    </row>
    <row r="45" spans="1:9" x14ac:dyDescent="0.45">
      <c r="A45" s="2"/>
      <c r="B45" s="2" t="s">
        <v>75</v>
      </c>
      <c r="C45" s="2" t="s">
        <v>519</v>
      </c>
      <c r="D45" s="2" t="s">
        <v>76</v>
      </c>
      <c r="E45" s="2" t="s">
        <v>77</v>
      </c>
      <c r="F45" s="2">
        <v>200</v>
      </c>
      <c r="G45" s="2" t="s">
        <v>60</v>
      </c>
      <c r="H45" s="90">
        <v>390</v>
      </c>
      <c r="I45" s="91">
        <v>78000</v>
      </c>
    </row>
    <row r="46" spans="1:9" x14ac:dyDescent="0.45">
      <c r="A46" s="2"/>
      <c r="B46" s="2" t="s">
        <v>150</v>
      </c>
      <c r="C46" s="2" t="s">
        <v>151</v>
      </c>
      <c r="D46" s="2" t="s">
        <v>152</v>
      </c>
      <c r="E46" s="2" t="s">
        <v>153</v>
      </c>
      <c r="F46" s="2">
        <v>250</v>
      </c>
      <c r="G46" s="2" t="s">
        <v>60</v>
      </c>
      <c r="H46" s="90">
        <v>388</v>
      </c>
      <c r="I46" s="91">
        <v>97000</v>
      </c>
    </row>
    <row r="47" spans="1:9" x14ac:dyDescent="0.45">
      <c r="A47" s="2"/>
      <c r="B47" s="2" t="s">
        <v>141</v>
      </c>
      <c r="C47" s="2" t="s">
        <v>142</v>
      </c>
      <c r="D47" s="2" t="s">
        <v>143</v>
      </c>
      <c r="E47" s="2" t="s">
        <v>144</v>
      </c>
      <c r="F47" s="2">
        <v>185</v>
      </c>
      <c r="G47" s="2" t="s">
        <v>60</v>
      </c>
      <c r="H47" s="90">
        <v>547</v>
      </c>
      <c r="I47" s="91">
        <v>101195</v>
      </c>
    </row>
    <row r="48" spans="1:9" x14ac:dyDescent="0.45">
      <c r="A48" s="2" t="s">
        <v>253</v>
      </c>
      <c r="B48" s="2"/>
      <c r="C48" s="2"/>
      <c r="D48" s="2"/>
      <c r="E48" s="2"/>
      <c r="F48" s="2"/>
      <c r="G48" s="2"/>
      <c r="H48" s="90">
        <v>1871</v>
      </c>
      <c r="I48" s="91">
        <v>385395</v>
      </c>
    </row>
    <row r="49" spans="1:9" x14ac:dyDescent="0.45">
      <c r="A49" s="2"/>
      <c r="B49" s="2"/>
      <c r="C49" s="2"/>
      <c r="D49" s="2"/>
      <c r="E49" s="2"/>
      <c r="F49" s="2"/>
      <c r="G49" s="2"/>
      <c r="H49" s="90"/>
      <c r="I49" s="91"/>
    </row>
    <row r="50" spans="1:9" x14ac:dyDescent="0.45">
      <c r="A50" s="2" t="s">
        <v>27</v>
      </c>
      <c r="B50" s="2" t="s">
        <v>28</v>
      </c>
      <c r="C50" s="2" t="s">
        <v>29</v>
      </c>
      <c r="D50" s="2" t="s">
        <v>30</v>
      </c>
      <c r="E50" s="2" t="s">
        <v>31</v>
      </c>
      <c r="F50" s="2">
        <v>185</v>
      </c>
      <c r="G50" s="2" t="s">
        <v>60</v>
      </c>
      <c r="H50" s="90">
        <v>154</v>
      </c>
      <c r="I50" s="91">
        <v>28490</v>
      </c>
    </row>
    <row r="51" spans="1:9" x14ac:dyDescent="0.45">
      <c r="A51" s="2"/>
      <c r="B51" s="2" t="s">
        <v>125</v>
      </c>
      <c r="C51" s="2" t="s">
        <v>29</v>
      </c>
      <c r="D51" s="2" t="s">
        <v>126</v>
      </c>
      <c r="E51" s="2" t="s">
        <v>127</v>
      </c>
      <c r="F51" s="2">
        <v>231</v>
      </c>
      <c r="G51" s="2" t="s">
        <v>60</v>
      </c>
      <c r="H51" s="90">
        <v>164</v>
      </c>
      <c r="I51" s="91">
        <v>37884</v>
      </c>
    </row>
    <row r="52" spans="1:9" x14ac:dyDescent="0.45">
      <c r="A52" s="2"/>
      <c r="B52" s="2" t="s">
        <v>133</v>
      </c>
      <c r="C52" s="2" t="s">
        <v>134</v>
      </c>
      <c r="D52" s="2" t="s">
        <v>135</v>
      </c>
      <c r="E52" s="2" t="s">
        <v>136</v>
      </c>
      <c r="F52" s="2">
        <v>209</v>
      </c>
      <c r="G52" s="2" t="s">
        <v>60</v>
      </c>
      <c r="H52" s="90">
        <v>104</v>
      </c>
      <c r="I52" s="91">
        <v>21736</v>
      </c>
    </row>
    <row r="53" spans="1:9" x14ac:dyDescent="0.45">
      <c r="A53" s="2" t="s">
        <v>254</v>
      </c>
      <c r="B53" s="2"/>
      <c r="C53" s="2"/>
      <c r="D53" s="2"/>
      <c r="E53" s="2"/>
      <c r="F53" s="2"/>
      <c r="G53" s="2"/>
      <c r="H53" s="90">
        <v>422</v>
      </c>
      <c r="I53" s="91">
        <v>88110</v>
      </c>
    </row>
    <row r="54" spans="1:9" x14ac:dyDescent="0.45">
      <c r="A54" s="2"/>
      <c r="B54" s="2"/>
      <c r="C54" s="2"/>
      <c r="D54" s="2"/>
      <c r="E54" s="2"/>
      <c r="F54" s="2"/>
      <c r="G54" s="2"/>
      <c r="H54" s="90"/>
      <c r="I54" s="91"/>
    </row>
    <row r="55" spans="1:9" x14ac:dyDescent="0.45">
      <c r="A55" s="2" t="s">
        <v>128</v>
      </c>
      <c r="B55" s="2" t="s">
        <v>129</v>
      </c>
      <c r="C55" s="2" t="s">
        <v>130</v>
      </c>
      <c r="D55" s="2" t="s">
        <v>131</v>
      </c>
      <c r="E55" s="2" t="s">
        <v>132</v>
      </c>
      <c r="F55" s="2">
        <v>125</v>
      </c>
      <c r="G55" s="2" t="s">
        <v>60</v>
      </c>
      <c r="H55" s="90">
        <v>104</v>
      </c>
      <c r="I55" s="91">
        <v>13000</v>
      </c>
    </row>
    <row r="56" spans="1:9" x14ac:dyDescent="0.45">
      <c r="A56" s="2"/>
      <c r="B56" s="2" t="s">
        <v>189</v>
      </c>
      <c r="C56" s="2" t="s">
        <v>130</v>
      </c>
      <c r="D56" s="2" t="s">
        <v>190</v>
      </c>
      <c r="E56" s="2" t="s">
        <v>191</v>
      </c>
      <c r="F56" s="2">
        <v>125</v>
      </c>
      <c r="G56" s="2" t="s">
        <v>60</v>
      </c>
      <c r="H56" s="90">
        <v>79</v>
      </c>
      <c r="I56" s="91">
        <v>9875</v>
      </c>
    </row>
    <row r="57" spans="1:9" x14ac:dyDescent="0.45">
      <c r="A57" s="2"/>
      <c r="B57" s="2" t="s">
        <v>157</v>
      </c>
      <c r="C57" s="2" t="s">
        <v>158</v>
      </c>
      <c r="D57" s="2" t="s">
        <v>159</v>
      </c>
      <c r="E57" s="2" t="s">
        <v>160</v>
      </c>
      <c r="F57" s="2">
        <v>140</v>
      </c>
      <c r="G57" s="2" t="s">
        <v>60</v>
      </c>
      <c r="H57" s="90">
        <v>712</v>
      </c>
      <c r="I57" s="91">
        <v>99680</v>
      </c>
    </row>
    <row r="58" spans="1:9" x14ac:dyDescent="0.45">
      <c r="A58" s="2" t="s">
        <v>255</v>
      </c>
      <c r="B58" s="2"/>
      <c r="C58" s="2"/>
      <c r="D58" s="2"/>
      <c r="E58" s="2"/>
      <c r="F58" s="2"/>
      <c r="G58" s="2"/>
      <c r="H58" s="90">
        <v>895</v>
      </c>
      <c r="I58" s="91">
        <v>122555</v>
      </c>
    </row>
    <row r="59" spans="1:9" x14ac:dyDescent="0.45">
      <c r="A59" s="2"/>
      <c r="B59" s="2"/>
      <c r="C59" s="2"/>
      <c r="D59" s="2"/>
      <c r="E59" s="2"/>
      <c r="F59" s="2"/>
      <c r="G59" s="2"/>
      <c r="H59" s="90"/>
      <c r="I59" s="91"/>
    </row>
    <row r="60" spans="1:9" x14ac:dyDescent="0.45">
      <c r="A60" s="2" t="s">
        <v>78</v>
      </c>
      <c r="B60" s="2" t="s">
        <v>145</v>
      </c>
      <c r="C60" s="2" t="s">
        <v>146</v>
      </c>
      <c r="D60" s="2" t="s">
        <v>90</v>
      </c>
      <c r="E60" s="2" t="s">
        <v>262</v>
      </c>
      <c r="F60" s="2">
        <v>230</v>
      </c>
      <c r="G60" s="2" t="s">
        <v>60</v>
      </c>
      <c r="H60" s="90">
        <v>155</v>
      </c>
      <c r="I60" s="91">
        <v>35650</v>
      </c>
    </row>
    <row r="61" spans="1:9" x14ac:dyDescent="0.45">
      <c r="A61" s="2"/>
      <c r="B61" s="2" t="s">
        <v>75</v>
      </c>
      <c r="C61" s="2" t="s">
        <v>207</v>
      </c>
      <c r="D61" s="2" t="s">
        <v>208</v>
      </c>
      <c r="E61" s="2" t="s">
        <v>209</v>
      </c>
      <c r="F61" s="2">
        <v>230</v>
      </c>
      <c r="G61" s="2" t="s">
        <v>245</v>
      </c>
      <c r="H61" s="90">
        <v>78</v>
      </c>
      <c r="I61" s="91">
        <v>17940</v>
      </c>
    </row>
    <row r="62" spans="1:9" x14ac:dyDescent="0.45">
      <c r="A62" s="2"/>
      <c r="B62" s="2" t="s">
        <v>79</v>
      </c>
      <c r="C62" s="2" t="s">
        <v>80</v>
      </c>
      <c r="D62" s="2" t="s">
        <v>81</v>
      </c>
      <c r="E62" s="2" t="s">
        <v>82</v>
      </c>
      <c r="F62" s="2">
        <v>230</v>
      </c>
      <c r="G62" s="2" t="s">
        <v>60</v>
      </c>
      <c r="H62" s="90">
        <v>390</v>
      </c>
      <c r="I62" s="91">
        <v>89700</v>
      </c>
    </row>
    <row r="63" spans="1:9" x14ac:dyDescent="0.45">
      <c r="A63" s="2"/>
      <c r="B63" s="2" t="s">
        <v>228</v>
      </c>
      <c r="C63" s="2" t="s">
        <v>229</v>
      </c>
      <c r="D63" s="2" t="s">
        <v>230</v>
      </c>
      <c r="E63" s="2" t="s">
        <v>231</v>
      </c>
      <c r="F63" s="2">
        <v>230</v>
      </c>
      <c r="G63" s="2" t="s">
        <v>245</v>
      </c>
      <c r="H63" s="90">
        <v>96</v>
      </c>
      <c r="I63" s="91">
        <v>22080</v>
      </c>
    </row>
    <row r="64" spans="1:9" x14ac:dyDescent="0.45">
      <c r="A64" s="2"/>
      <c r="B64" s="2" t="s">
        <v>147</v>
      </c>
      <c r="C64" s="2" t="s">
        <v>148</v>
      </c>
      <c r="D64" s="2" t="s">
        <v>149</v>
      </c>
      <c r="E64" s="2" t="s">
        <v>262</v>
      </c>
      <c r="F64" s="2">
        <v>335</v>
      </c>
      <c r="G64" s="2" t="s">
        <v>60</v>
      </c>
      <c r="H64" s="90">
        <v>306</v>
      </c>
      <c r="I64" s="91">
        <v>102510</v>
      </c>
    </row>
    <row r="65" spans="1:9" x14ac:dyDescent="0.45">
      <c r="A65" s="2" t="s">
        <v>256</v>
      </c>
      <c r="B65" s="2"/>
      <c r="C65" s="2"/>
      <c r="D65" s="2"/>
      <c r="E65" s="2"/>
      <c r="F65" s="2"/>
      <c r="G65" s="2"/>
      <c r="H65" s="90">
        <v>1025</v>
      </c>
      <c r="I65" s="91">
        <v>267880</v>
      </c>
    </row>
    <row r="66" spans="1:9" x14ac:dyDescent="0.45">
      <c r="A66" s="2"/>
      <c r="B66" s="2"/>
      <c r="C66" s="2"/>
      <c r="D66" s="2"/>
      <c r="E66" s="2"/>
      <c r="F66" s="2"/>
      <c r="G66" s="2"/>
      <c r="H66" s="90"/>
      <c r="I66" s="91"/>
    </row>
    <row r="67" spans="1:9" x14ac:dyDescent="0.45">
      <c r="A67" s="2" t="s">
        <v>196</v>
      </c>
      <c r="B67" s="2" t="s">
        <v>197</v>
      </c>
      <c r="C67" s="2" t="s">
        <v>198</v>
      </c>
      <c r="D67" s="2" t="s">
        <v>90</v>
      </c>
      <c r="E67" s="2" t="s">
        <v>262</v>
      </c>
      <c r="F67" s="2">
        <v>145</v>
      </c>
      <c r="G67" s="2" t="s">
        <v>60</v>
      </c>
      <c r="H67" s="90">
        <v>627</v>
      </c>
      <c r="I67" s="91">
        <v>90915</v>
      </c>
    </row>
    <row r="68" spans="1:9" x14ac:dyDescent="0.45">
      <c r="A68" s="2"/>
      <c r="B68" s="2"/>
      <c r="C68" s="2"/>
      <c r="D68" s="2"/>
      <c r="E68" s="2"/>
      <c r="F68" s="2"/>
      <c r="G68" s="2" t="s">
        <v>245</v>
      </c>
      <c r="H68" s="90">
        <v>110</v>
      </c>
      <c r="I68" s="91">
        <v>15950</v>
      </c>
    </row>
    <row r="69" spans="1:9" x14ac:dyDescent="0.45">
      <c r="A69" s="2" t="s">
        <v>257</v>
      </c>
      <c r="B69" s="2"/>
      <c r="C69" s="2"/>
      <c r="D69" s="2"/>
      <c r="E69" s="2"/>
      <c r="F69" s="2"/>
      <c r="G69" s="2"/>
      <c r="H69" s="90">
        <v>737</v>
      </c>
      <c r="I69" s="91">
        <v>106865</v>
      </c>
    </row>
    <row r="70" spans="1:9" x14ac:dyDescent="0.45">
      <c r="A70" s="2"/>
      <c r="B70" s="2"/>
      <c r="C70" s="2"/>
      <c r="D70" s="2"/>
      <c r="E70" s="2"/>
      <c r="F70" s="2"/>
      <c r="G70" s="2"/>
      <c r="H70" s="90"/>
      <c r="I70" s="91"/>
    </row>
    <row r="71" spans="1:9" x14ac:dyDescent="0.45">
      <c r="A71" s="2" t="s">
        <v>41</v>
      </c>
      <c r="B71" s="2" t="s">
        <v>42</v>
      </c>
      <c r="C71" s="2" t="s">
        <v>43</v>
      </c>
      <c r="D71" s="2" t="s">
        <v>44</v>
      </c>
      <c r="E71" s="2" t="s">
        <v>45</v>
      </c>
      <c r="F71" s="2">
        <v>141</v>
      </c>
      <c r="G71" s="2" t="s">
        <v>60</v>
      </c>
      <c r="H71" s="90">
        <v>699</v>
      </c>
      <c r="I71" s="91">
        <v>98559</v>
      </c>
    </row>
    <row r="72" spans="1:9" x14ac:dyDescent="0.45">
      <c r="A72" s="2" t="s">
        <v>258</v>
      </c>
      <c r="B72" s="2"/>
      <c r="C72" s="2"/>
      <c r="D72" s="2"/>
      <c r="E72" s="2"/>
      <c r="F72" s="2"/>
      <c r="G72" s="2"/>
      <c r="H72" s="90">
        <v>699</v>
      </c>
      <c r="I72" s="91">
        <v>98559</v>
      </c>
    </row>
    <row r="73" spans="1:9" x14ac:dyDescent="0.45">
      <c r="A73" s="2"/>
      <c r="B73" s="2"/>
      <c r="C73" s="2"/>
      <c r="D73" s="2"/>
      <c r="E73" s="2"/>
      <c r="F73" s="2"/>
      <c r="G73" s="2"/>
      <c r="H73" s="90"/>
      <c r="I73" s="91"/>
    </row>
    <row r="74" spans="1:9" x14ac:dyDescent="0.45">
      <c r="A74" s="2" t="s">
        <v>93</v>
      </c>
      <c r="B74" s="2" t="s">
        <v>94</v>
      </c>
      <c r="C74" s="2" t="s">
        <v>95</v>
      </c>
      <c r="D74" s="2" t="s">
        <v>96</v>
      </c>
      <c r="E74" s="2" t="s">
        <v>97</v>
      </c>
      <c r="F74" s="2">
        <v>278</v>
      </c>
      <c r="G74" s="2" t="s">
        <v>60</v>
      </c>
      <c r="H74" s="90">
        <v>468</v>
      </c>
      <c r="I74" s="91">
        <v>130104</v>
      </c>
    </row>
    <row r="75" spans="1:9" x14ac:dyDescent="0.45">
      <c r="A75" s="2"/>
      <c r="B75" s="2"/>
      <c r="C75" s="2"/>
      <c r="D75" s="2"/>
      <c r="E75" s="2"/>
      <c r="F75" s="2"/>
      <c r="G75" s="2" t="s">
        <v>245</v>
      </c>
      <c r="H75" s="90">
        <v>78</v>
      </c>
      <c r="I75" s="91">
        <v>21684</v>
      </c>
    </row>
    <row r="76" spans="1:9" x14ac:dyDescent="0.45">
      <c r="A76" s="2"/>
      <c r="B76" s="2" t="s">
        <v>154</v>
      </c>
      <c r="C76" s="2" t="s">
        <v>95</v>
      </c>
      <c r="D76" s="2" t="s">
        <v>155</v>
      </c>
      <c r="E76" s="2" t="s">
        <v>156</v>
      </c>
      <c r="F76" s="2">
        <v>278</v>
      </c>
      <c r="G76" s="2" t="s">
        <v>60</v>
      </c>
      <c r="H76" s="90">
        <v>469</v>
      </c>
      <c r="I76" s="91">
        <v>130382</v>
      </c>
    </row>
    <row r="77" spans="1:9" x14ac:dyDescent="0.45">
      <c r="A77" s="2"/>
      <c r="B77" s="2"/>
      <c r="C77" s="2"/>
      <c r="D77" s="2"/>
      <c r="E77" s="2"/>
      <c r="F77" s="2"/>
      <c r="G77" s="2" t="s">
        <v>245</v>
      </c>
      <c r="H77" s="90">
        <v>96</v>
      </c>
      <c r="I77" s="91">
        <v>26688</v>
      </c>
    </row>
    <row r="78" spans="1:9" x14ac:dyDescent="0.45">
      <c r="A78" s="2"/>
      <c r="B78" s="2" t="s">
        <v>150</v>
      </c>
      <c r="C78" s="2" t="s">
        <v>232</v>
      </c>
      <c r="D78" s="2" t="s">
        <v>233</v>
      </c>
      <c r="E78" s="2" t="s">
        <v>234</v>
      </c>
      <c r="F78" s="2">
        <v>280</v>
      </c>
      <c r="G78" s="2" t="s">
        <v>245</v>
      </c>
      <c r="H78" s="90">
        <v>96</v>
      </c>
      <c r="I78" s="91">
        <v>26880</v>
      </c>
    </row>
    <row r="79" spans="1:9" x14ac:dyDescent="0.45">
      <c r="A79" s="2" t="s">
        <v>259</v>
      </c>
      <c r="B79" s="2"/>
      <c r="C79" s="2"/>
      <c r="D79" s="2"/>
      <c r="E79" s="2"/>
      <c r="F79" s="2"/>
      <c r="G79" s="2"/>
      <c r="H79" s="90">
        <v>1207</v>
      </c>
      <c r="I79" s="91">
        <v>335738</v>
      </c>
    </row>
    <row r="80" spans="1:9" x14ac:dyDescent="0.45">
      <c r="A80" s="2"/>
      <c r="B80" s="2"/>
      <c r="C80" s="2"/>
      <c r="D80" s="2"/>
      <c r="E80" s="2"/>
      <c r="F80" s="2"/>
      <c r="G80" s="2"/>
      <c r="H80" s="90"/>
      <c r="I80" s="91"/>
    </row>
    <row r="81" spans="1:9" x14ac:dyDescent="0.45">
      <c r="A81" s="2" t="s">
        <v>5</v>
      </c>
      <c r="B81" s="2" t="s">
        <v>19</v>
      </c>
      <c r="C81" s="2" t="s">
        <v>20</v>
      </c>
      <c r="D81" s="2" t="s">
        <v>21</v>
      </c>
      <c r="E81" s="2" t="s">
        <v>22</v>
      </c>
      <c r="F81" s="2">
        <v>206</v>
      </c>
      <c r="G81" s="2" t="s">
        <v>60</v>
      </c>
      <c r="H81" s="90">
        <v>154</v>
      </c>
      <c r="I81" s="91">
        <v>31724</v>
      </c>
    </row>
    <row r="82" spans="1:9" x14ac:dyDescent="0.45">
      <c r="A82" s="2"/>
      <c r="B82" s="2" t="s">
        <v>15</v>
      </c>
      <c r="C82" s="2" t="s">
        <v>16</v>
      </c>
      <c r="D82" s="2" t="s">
        <v>17</v>
      </c>
      <c r="E82" s="2" t="s">
        <v>18</v>
      </c>
      <c r="F82" s="2">
        <v>215</v>
      </c>
      <c r="G82" s="2" t="s">
        <v>60</v>
      </c>
      <c r="H82" s="90">
        <v>154</v>
      </c>
      <c r="I82" s="91">
        <v>33110</v>
      </c>
    </row>
    <row r="83" spans="1:9" x14ac:dyDescent="0.45">
      <c r="A83" s="2"/>
      <c r="B83" s="2" t="s">
        <v>6</v>
      </c>
      <c r="C83" s="2" t="s">
        <v>7</v>
      </c>
      <c r="D83" s="2" t="s">
        <v>8</v>
      </c>
      <c r="E83" s="2" t="s">
        <v>9</v>
      </c>
      <c r="F83" s="2">
        <v>195</v>
      </c>
      <c r="G83" s="2" t="s">
        <v>60</v>
      </c>
      <c r="H83" s="90">
        <v>154</v>
      </c>
      <c r="I83" s="91">
        <v>30030</v>
      </c>
    </row>
    <row r="84" spans="1:9" x14ac:dyDescent="0.45">
      <c r="A84" s="2"/>
      <c r="B84" s="2" t="s">
        <v>116</v>
      </c>
      <c r="C84" s="2" t="s">
        <v>7</v>
      </c>
      <c r="D84" s="2" t="s">
        <v>117</v>
      </c>
      <c r="E84" s="2" t="s">
        <v>118</v>
      </c>
      <c r="F84" s="2">
        <v>199</v>
      </c>
      <c r="G84" s="2" t="s">
        <v>60</v>
      </c>
      <c r="H84" s="90">
        <v>548</v>
      </c>
      <c r="I84" s="91">
        <v>109052</v>
      </c>
    </row>
    <row r="85" spans="1:9" x14ac:dyDescent="0.45">
      <c r="A85" s="2"/>
      <c r="B85" s="2" t="s">
        <v>37</v>
      </c>
      <c r="C85" s="2" t="s">
        <v>38</v>
      </c>
      <c r="D85" s="2" t="s">
        <v>39</v>
      </c>
      <c r="E85" s="2" t="s">
        <v>40</v>
      </c>
      <c r="F85" s="2">
        <v>218</v>
      </c>
      <c r="G85" s="2" t="s">
        <v>60</v>
      </c>
      <c r="H85" s="90">
        <v>78</v>
      </c>
      <c r="I85" s="91">
        <v>17004</v>
      </c>
    </row>
    <row r="86" spans="1:9" x14ac:dyDescent="0.45">
      <c r="A86" s="2" t="s">
        <v>260</v>
      </c>
      <c r="B86" s="2"/>
      <c r="C86" s="2"/>
      <c r="D86" s="2"/>
      <c r="E86" s="2"/>
      <c r="F86" s="2"/>
      <c r="G86" s="2"/>
      <c r="H86" s="90">
        <v>1088</v>
      </c>
      <c r="I86" s="91">
        <v>220920</v>
      </c>
    </row>
    <row r="87" spans="1:9" x14ac:dyDescent="0.45">
      <c r="A87" s="2"/>
      <c r="B87" s="2"/>
      <c r="C87" s="2"/>
      <c r="D87" s="2"/>
      <c r="E87" s="2"/>
      <c r="F87" s="2"/>
      <c r="G87" s="2"/>
      <c r="H87" s="90"/>
      <c r="I87" s="91"/>
    </row>
    <row r="88" spans="1:9" x14ac:dyDescent="0.45">
      <c r="A88" s="2" t="s">
        <v>69</v>
      </c>
      <c r="B88" s="2" t="s">
        <v>112</v>
      </c>
      <c r="C88" s="2" t="s">
        <v>113</v>
      </c>
      <c r="D88" s="2" t="s">
        <v>114</v>
      </c>
      <c r="E88" s="2" t="s">
        <v>115</v>
      </c>
      <c r="F88" s="2">
        <v>228</v>
      </c>
      <c r="G88" s="2" t="s">
        <v>60</v>
      </c>
      <c r="H88" s="90">
        <v>163</v>
      </c>
      <c r="I88" s="91">
        <v>37164</v>
      </c>
    </row>
    <row r="89" spans="1:9" x14ac:dyDescent="0.45">
      <c r="A89" s="2"/>
      <c r="B89" s="2" t="s">
        <v>241</v>
      </c>
      <c r="C89" s="2" t="s">
        <v>242</v>
      </c>
      <c r="D89" s="2" t="s">
        <v>243</v>
      </c>
      <c r="E89" s="2" t="s">
        <v>244</v>
      </c>
      <c r="F89" s="2">
        <v>233</v>
      </c>
      <c r="G89" s="2" t="s">
        <v>245</v>
      </c>
      <c r="H89" s="90">
        <v>110</v>
      </c>
      <c r="I89" s="91">
        <v>25630</v>
      </c>
    </row>
    <row r="90" spans="1:9" x14ac:dyDescent="0.45">
      <c r="A90" s="2"/>
      <c r="B90" s="2" t="s">
        <v>108</v>
      </c>
      <c r="C90" s="2" t="s">
        <v>109</v>
      </c>
      <c r="D90" s="2" t="s">
        <v>110</v>
      </c>
      <c r="E90" s="2" t="s">
        <v>111</v>
      </c>
      <c r="F90" s="2">
        <v>249</v>
      </c>
      <c r="G90" s="2" t="s">
        <v>60</v>
      </c>
      <c r="H90" s="90">
        <v>60</v>
      </c>
      <c r="I90" s="91">
        <v>14940</v>
      </c>
    </row>
    <row r="91" spans="1:9" x14ac:dyDescent="0.45">
      <c r="A91" s="2"/>
      <c r="B91" s="2" t="s">
        <v>221</v>
      </c>
      <c r="C91" s="2" t="s">
        <v>222</v>
      </c>
      <c r="D91" s="2" t="s">
        <v>223</v>
      </c>
      <c r="E91" s="2" t="s">
        <v>224</v>
      </c>
      <c r="F91" s="2">
        <v>218</v>
      </c>
      <c r="G91" s="2" t="s">
        <v>245</v>
      </c>
      <c r="H91" s="90">
        <v>96</v>
      </c>
      <c r="I91" s="91">
        <v>20928</v>
      </c>
    </row>
    <row r="92" spans="1:9" x14ac:dyDescent="0.45">
      <c r="A92" s="2"/>
      <c r="B92" s="2" t="s">
        <v>238</v>
      </c>
      <c r="C92" s="2" t="s">
        <v>218</v>
      </c>
      <c r="D92" s="2" t="s">
        <v>239</v>
      </c>
      <c r="E92" s="2" t="s">
        <v>240</v>
      </c>
      <c r="F92" s="2">
        <v>205</v>
      </c>
      <c r="G92" s="2" t="s">
        <v>245</v>
      </c>
      <c r="H92" s="90">
        <v>110</v>
      </c>
      <c r="I92" s="91">
        <v>22550</v>
      </c>
    </row>
    <row r="93" spans="1:9" x14ac:dyDescent="0.45">
      <c r="A93" s="2"/>
      <c r="B93" s="2" t="s">
        <v>116</v>
      </c>
      <c r="C93" s="2" t="s">
        <v>218</v>
      </c>
      <c r="D93" s="2" t="s">
        <v>219</v>
      </c>
      <c r="E93" s="2" t="s">
        <v>220</v>
      </c>
      <c r="F93" s="2">
        <v>205</v>
      </c>
      <c r="G93" s="2" t="s">
        <v>245</v>
      </c>
      <c r="H93" s="90">
        <v>96</v>
      </c>
      <c r="I93" s="91">
        <v>19680</v>
      </c>
    </row>
    <row r="94" spans="1:9" x14ac:dyDescent="0.45">
      <c r="A94" s="2"/>
      <c r="B94" s="2" t="s">
        <v>203</v>
      </c>
      <c r="C94" s="2" t="s">
        <v>204</v>
      </c>
      <c r="D94" s="2" t="s">
        <v>205</v>
      </c>
      <c r="E94" s="2" t="s">
        <v>206</v>
      </c>
      <c r="F94" s="2">
        <v>187</v>
      </c>
      <c r="G94" s="2" t="s">
        <v>245</v>
      </c>
      <c r="H94" s="90">
        <v>78</v>
      </c>
      <c r="I94" s="91">
        <v>14586</v>
      </c>
    </row>
    <row r="95" spans="1:9" x14ac:dyDescent="0.45">
      <c r="A95" s="2"/>
      <c r="B95" s="2" t="s">
        <v>217</v>
      </c>
      <c r="C95" s="2" t="s">
        <v>92</v>
      </c>
      <c r="D95" s="2" t="s">
        <v>90</v>
      </c>
      <c r="E95" s="2" t="s">
        <v>262</v>
      </c>
      <c r="F95" s="2">
        <v>285</v>
      </c>
      <c r="G95" s="2" t="s">
        <v>245</v>
      </c>
      <c r="H95" s="90">
        <v>12</v>
      </c>
      <c r="I95" s="91">
        <v>3420</v>
      </c>
    </row>
    <row r="96" spans="1:9" x14ac:dyDescent="0.45">
      <c r="A96" s="2"/>
      <c r="B96" s="2" t="s">
        <v>91</v>
      </c>
      <c r="C96" s="2" t="s">
        <v>92</v>
      </c>
      <c r="D96" s="2" t="s">
        <v>90</v>
      </c>
      <c r="E96" s="2" t="s">
        <v>262</v>
      </c>
      <c r="F96" s="2">
        <v>265</v>
      </c>
      <c r="G96" s="2" t="s">
        <v>60</v>
      </c>
      <c r="H96" s="90">
        <v>156</v>
      </c>
      <c r="I96" s="91">
        <v>41340</v>
      </c>
    </row>
    <row r="97" spans="1:9" x14ac:dyDescent="0.45">
      <c r="A97" s="2"/>
      <c r="B97" s="2" t="s">
        <v>237</v>
      </c>
      <c r="C97" s="2" t="s">
        <v>92</v>
      </c>
      <c r="D97" s="2" t="s">
        <v>90</v>
      </c>
      <c r="E97" s="2" t="s">
        <v>262</v>
      </c>
      <c r="F97" s="2">
        <v>254</v>
      </c>
      <c r="G97" s="2" t="s">
        <v>245</v>
      </c>
      <c r="H97" s="90">
        <v>25</v>
      </c>
      <c r="I97" s="91">
        <v>6350</v>
      </c>
    </row>
    <row r="98" spans="1:9" x14ac:dyDescent="0.45">
      <c r="A98" s="2"/>
      <c r="B98" s="2" t="s">
        <v>225</v>
      </c>
      <c r="C98" s="2" t="s">
        <v>204</v>
      </c>
      <c r="D98" s="2" t="s">
        <v>226</v>
      </c>
      <c r="E98" s="2" t="s">
        <v>227</v>
      </c>
      <c r="F98" s="2">
        <v>187</v>
      </c>
      <c r="G98" s="2" t="s">
        <v>245</v>
      </c>
      <c r="H98" s="90">
        <v>96</v>
      </c>
      <c r="I98" s="91">
        <v>17952</v>
      </c>
    </row>
    <row r="99" spans="1:9" x14ac:dyDescent="0.45">
      <c r="A99" s="2"/>
      <c r="B99" s="2" t="s">
        <v>70</v>
      </c>
      <c r="C99" s="2" t="s">
        <v>71</v>
      </c>
      <c r="D99" s="2" t="s">
        <v>72</v>
      </c>
      <c r="E99" s="2" t="s">
        <v>73</v>
      </c>
      <c r="F99" s="2">
        <v>180</v>
      </c>
      <c r="G99" s="2" t="s">
        <v>60</v>
      </c>
      <c r="H99" s="90">
        <v>545</v>
      </c>
      <c r="I99" s="91">
        <v>98100</v>
      </c>
    </row>
    <row r="100" spans="1:9" x14ac:dyDescent="0.45">
      <c r="A100" s="2"/>
      <c r="B100" s="2" t="s">
        <v>137</v>
      </c>
      <c r="C100" s="2" t="s">
        <v>138</v>
      </c>
      <c r="D100" s="2" t="s">
        <v>139</v>
      </c>
      <c r="E100" s="2" t="s">
        <v>140</v>
      </c>
      <c r="F100" s="2">
        <v>253</v>
      </c>
      <c r="G100" s="2" t="s">
        <v>60</v>
      </c>
      <c r="H100" s="90">
        <v>104</v>
      </c>
      <c r="I100" s="91">
        <v>26312</v>
      </c>
    </row>
    <row r="101" spans="1:9" x14ac:dyDescent="0.45">
      <c r="A101" s="2"/>
      <c r="B101" s="2" t="s">
        <v>185</v>
      </c>
      <c r="C101" s="2" t="s">
        <v>186</v>
      </c>
      <c r="D101" s="2" t="s">
        <v>187</v>
      </c>
      <c r="E101" s="2" t="s">
        <v>188</v>
      </c>
      <c r="F101" s="2">
        <v>241</v>
      </c>
      <c r="G101" s="2" t="s">
        <v>60</v>
      </c>
      <c r="H101" s="90">
        <v>79</v>
      </c>
      <c r="I101" s="91">
        <v>19039</v>
      </c>
    </row>
    <row r="102" spans="1:9" x14ac:dyDescent="0.45">
      <c r="A102" s="2"/>
      <c r="B102" s="2" t="s">
        <v>169</v>
      </c>
      <c r="C102" s="2" t="s">
        <v>109</v>
      </c>
      <c r="D102" s="2" t="s">
        <v>170</v>
      </c>
      <c r="E102" s="2" t="s">
        <v>171</v>
      </c>
      <c r="F102" s="2">
        <v>232</v>
      </c>
      <c r="G102" s="2" t="s">
        <v>60</v>
      </c>
      <c r="H102" s="90">
        <v>62</v>
      </c>
      <c r="I102" s="91">
        <v>14384</v>
      </c>
    </row>
    <row r="103" spans="1:9" x14ac:dyDescent="0.45">
      <c r="A103" s="2" t="s">
        <v>261</v>
      </c>
      <c r="B103" s="2"/>
      <c r="C103" s="2"/>
      <c r="D103" s="2"/>
      <c r="E103" s="2"/>
      <c r="F103" s="2"/>
      <c r="G103" s="2"/>
      <c r="H103" s="90">
        <v>1792</v>
      </c>
      <c r="I103" s="91">
        <v>382375</v>
      </c>
    </row>
    <row r="104" spans="1:9" x14ac:dyDescent="0.45">
      <c r="A104" s="2"/>
      <c r="B104" s="2"/>
      <c r="C104" s="2"/>
      <c r="D104" s="2"/>
      <c r="E104" s="2"/>
      <c r="F104" s="2"/>
      <c r="G104" s="2"/>
      <c r="H104" s="90"/>
      <c r="I104" s="91"/>
    </row>
    <row r="105" spans="1:9" x14ac:dyDescent="0.45">
      <c r="A105" s="2" t="s">
        <v>246</v>
      </c>
      <c r="B105" s="2"/>
      <c r="C105" s="2"/>
      <c r="D105" s="2"/>
      <c r="E105" s="2"/>
      <c r="F105" s="2"/>
      <c r="G105" s="2"/>
      <c r="H105" s="90">
        <v>16269</v>
      </c>
      <c r="I105" s="91">
        <v>3280387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5"/>
  </sheetPr>
  <dimension ref="A1:M190"/>
  <sheetViews>
    <sheetView workbookViewId="0">
      <pane ySplit="2" topLeftCell="A3" activePane="bottomLeft" state="frozen"/>
      <selection activeCell="I9" sqref="I9"/>
      <selection pane="bottomLeft" activeCell="G3" sqref="G3"/>
    </sheetView>
  </sheetViews>
  <sheetFormatPr defaultRowHeight="15.45" x14ac:dyDescent="0.45"/>
  <cols>
    <col min="1" max="1" width="4.41796875" style="1" customWidth="1"/>
    <col min="2" max="2" width="7.89453125" style="1" customWidth="1"/>
    <col min="3" max="3" width="4.41796875" style="1" customWidth="1"/>
    <col min="4" max="4" width="6.89453125" style="1" bestFit="1" customWidth="1"/>
    <col min="5" max="5" width="6.1015625" style="1" customWidth="1"/>
    <col min="6" max="6" width="18.1015625" customWidth="1"/>
    <col min="7" max="7" width="6" customWidth="1"/>
    <col min="8" max="8" width="5.1015625" bestFit="1" customWidth="1"/>
    <col min="9" max="9" width="7.5234375" style="6" customWidth="1"/>
    <col min="10" max="10" width="16.1015625" customWidth="1"/>
    <col min="11" max="11" width="8.1015625" style="1" customWidth="1"/>
    <col min="12" max="12" width="16.89453125" style="1" customWidth="1"/>
  </cols>
  <sheetData>
    <row r="1" spans="1:13" ht="20.350000000000001" x14ac:dyDescent="0.45">
      <c r="A1" s="24" t="s">
        <v>539</v>
      </c>
      <c r="B1" s="3"/>
      <c r="C1" s="3"/>
      <c r="D1" s="3"/>
      <c r="E1" s="3"/>
      <c r="F1" s="3"/>
      <c r="G1" s="3"/>
      <c r="H1" s="16"/>
      <c r="I1" s="16"/>
      <c r="J1" s="3"/>
      <c r="K1" s="3"/>
      <c r="L1" s="3"/>
      <c r="M1" s="3"/>
    </row>
    <row r="2" spans="1:13" ht="20.3" customHeight="1" x14ac:dyDescent="0.45">
      <c r="A2" s="98" t="s">
        <v>54</v>
      </c>
      <c r="B2" s="99" t="s">
        <v>537</v>
      </c>
      <c r="C2" s="99" t="s">
        <v>0</v>
      </c>
      <c r="D2" s="98" t="s">
        <v>55</v>
      </c>
      <c r="E2" s="99" t="s">
        <v>56</v>
      </c>
      <c r="F2" s="98" t="s">
        <v>57</v>
      </c>
      <c r="G2" s="98" t="s">
        <v>548</v>
      </c>
      <c r="H2" s="100" t="s">
        <v>58</v>
      </c>
      <c r="I2" s="101" t="s">
        <v>59</v>
      </c>
      <c r="J2" s="98" t="s">
        <v>1</v>
      </c>
      <c r="K2" s="98" t="s">
        <v>2</v>
      </c>
      <c r="L2" s="98" t="s">
        <v>3</v>
      </c>
      <c r="M2" s="98" t="s">
        <v>538</v>
      </c>
    </row>
    <row r="3" spans="1:13" x14ac:dyDescent="0.45">
      <c r="A3" s="9" t="s">
        <v>60</v>
      </c>
      <c r="B3" s="9" t="s">
        <v>529</v>
      </c>
      <c r="C3" s="9" t="s">
        <v>4</v>
      </c>
      <c r="D3" s="9" t="s">
        <v>527</v>
      </c>
      <c r="E3" s="9" t="s">
        <v>10</v>
      </c>
      <c r="F3" s="10" t="s">
        <v>23</v>
      </c>
      <c r="G3" s="10">
        <v>232</v>
      </c>
      <c r="H3" s="10">
        <v>78</v>
      </c>
      <c r="I3" s="102">
        <v>18096</v>
      </c>
      <c r="J3" s="10" t="s">
        <v>24</v>
      </c>
      <c r="K3" s="9" t="s">
        <v>25</v>
      </c>
      <c r="L3" s="9" t="s">
        <v>26</v>
      </c>
      <c r="M3" s="7"/>
    </row>
    <row r="4" spans="1:13" x14ac:dyDescent="0.45">
      <c r="A4" s="9" t="s">
        <v>60</v>
      </c>
      <c r="B4" s="9" t="s">
        <v>522</v>
      </c>
      <c r="C4" s="9" t="s">
        <v>4</v>
      </c>
      <c r="D4" s="9" t="s">
        <v>523</v>
      </c>
      <c r="E4" s="9" t="s">
        <v>10</v>
      </c>
      <c r="F4" s="10" t="s">
        <v>23</v>
      </c>
      <c r="G4" s="10">
        <v>232</v>
      </c>
      <c r="H4" s="10">
        <v>154</v>
      </c>
      <c r="I4" s="102">
        <v>35728</v>
      </c>
      <c r="J4" s="10" t="s">
        <v>24</v>
      </c>
      <c r="K4" s="9" t="s">
        <v>25</v>
      </c>
      <c r="L4" s="9" t="s">
        <v>26</v>
      </c>
      <c r="M4" s="7"/>
    </row>
    <row r="5" spans="1:13" x14ac:dyDescent="0.45">
      <c r="A5" s="9" t="s">
        <v>60</v>
      </c>
      <c r="B5" s="9" t="s">
        <v>522</v>
      </c>
      <c r="C5" s="9" t="s">
        <v>4</v>
      </c>
      <c r="D5" s="9" t="s">
        <v>523</v>
      </c>
      <c r="E5" s="9" t="s">
        <v>10</v>
      </c>
      <c r="F5" s="10" t="s">
        <v>11</v>
      </c>
      <c r="G5" s="10">
        <v>228</v>
      </c>
      <c r="H5" s="10">
        <v>154</v>
      </c>
      <c r="I5" s="102">
        <v>35112</v>
      </c>
      <c r="J5" s="10" t="s">
        <v>12</v>
      </c>
      <c r="K5" s="9" t="s">
        <v>13</v>
      </c>
      <c r="L5" s="9" t="s">
        <v>14</v>
      </c>
      <c r="M5" s="7"/>
    </row>
    <row r="6" spans="1:13" x14ac:dyDescent="0.45">
      <c r="A6" s="9" t="s">
        <v>60</v>
      </c>
      <c r="B6" s="9" t="s">
        <v>529</v>
      </c>
      <c r="C6" s="9" t="s">
        <v>103</v>
      </c>
      <c r="D6" s="9" t="s">
        <v>527</v>
      </c>
      <c r="E6" s="9" t="s">
        <v>10</v>
      </c>
      <c r="F6" s="10" t="s">
        <v>119</v>
      </c>
      <c r="G6" s="10">
        <v>248</v>
      </c>
      <c r="H6" s="10">
        <v>82</v>
      </c>
      <c r="I6" s="102">
        <v>20336</v>
      </c>
      <c r="J6" s="10" t="s">
        <v>24</v>
      </c>
      <c r="K6" s="9" t="s">
        <v>120</v>
      </c>
      <c r="L6" s="9" t="s">
        <v>121</v>
      </c>
      <c r="M6" s="7"/>
    </row>
    <row r="7" spans="1:13" x14ac:dyDescent="0.45">
      <c r="A7" s="9" t="s">
        <v>60</v>
      </c>
      <c r="B7" s="9" t="s">
        <v>522</v>
      </c>
      <c r="C7" s="9" t="s">
        <v>103</v>
      </c>
      <c r="D7" s="9" t="s">
        <v>523</v>
      </c>
      <c r="E7" s="9" t="s">
        <v>10</v>
      </c>
      <c r="F7" s="10" t="s">
        <v>119</v>
      </c>
      <c r="G7" s="10">
        <v>248</v>
      </c>
      <c r="H7" s="10">
        <v>164</v>
      </c>
      <c r="I7" s="102">
        <v>40672</v>
      </c>
      <c r="J7" s="10" t="s">
        <v>24</v>
      </c>
      <c r="K7" s="9" t="s">
        <v>120</v>
      </c>
      <c r="L7" s="9" t="s">
        <v>121</v>
      </c>
      <c r="M7" s="7"/>
    </row>
    <row r="8" spans="1:13" x14ac:dyDescent="0.45">
      <c r="A8" s="9" t="s">
        <v>60</v>
      </c>
      <c r="B8" s="9" t="s">
        <v>522</v>
      </c>
      <c r="C8" s="9" t="s">
        <v>103</v>
      </c>
      <c r="D8" s="9" t="s">
        <v>523</v>
      </c>
      <c r="E8" s="9" t="s">
        <v>10</v>
      </c>
      <c r="F8" s="10" t="s">
        <v>104</v>
      </c>
      <c r="G8" s="10">
        <v>220</v>
      </c>
      <c r="H8" s="10">
        <v>164</v>
      </c>
      <c r="I8" s="102">
        <v>36080</v>
      </c>
      <c r="J8" s="10" t="s">
        <v>105</v>
      </c>
      <c r="K8" s="9" t="s">
        <v>106</v>
      </c>
      <c r="L8" s="9" t="s">
        <v>107</v>
      </c>
      <c r="M8" s="7"/>
    </row>
    <row r="9" spans="1:13" x14ac:dyDescent="0.45">
      <c r="A9" s="9" t="s">
        <v>60</v>
      </c>
      <c r="B9" s="9" t="s">
        <v>522</v>
      </c>
      <c r="C9" s="9" t="s">
        <v>164</v>
      </c>
      <c r="D9" s="9" t="s">
        <v>527</v>
      </c>
      <c r="E9" s="9" t="s">
        <v>10</v>
      </c>
      <c r="F9" s="10" t="s">
        <v>172</v>
      </c>
      <c r="G9" s="10">
        <v>218</v>
      </c>
      <c r="H9" s="10">
        <v>62</v>
      </c>
      <c r="I9" s="102">
        <v>13516</v>
      </c>
      <c r="J9" s="10" t="s">
        <v>173</v>
      </c>
      <c r="K9" s="9" t="s">
        <v>174</v>
      </c>
      <c r="L9" s="9" t="s">
        <v>175</v>
      </c>
      <c r="M9" s="7"/>
    </row>
    <row r="10" spans="1:13" x14ac:dyDescent="0.45">
      <c r="A10" s="9" t="s">
        <v>60</v>
      </c>
      <c r="B10" s="9" t="s">
        <v>522</v>
      </c>
      <c r="C10" s="9" t="s">
        <v>164</v>
      </c>
      <c r="D10" s="9" t="s">
        <v>527</v>
      </c>
      <c r="E10" s="9" t="s">
        <v>10</v>
      </c>
      <c r="F10" s="10" t="s">
        <v>182</v>
      </c>
      <c r="G10" s="10">
        <v>168</v>
      </c>
      <c r="H10" s="10">
        <v>62</v>
      </c>
      <c r="I10" s="102">
        <v>10416</v>
      </c>
      <c r="J10" s="10" t="s">
        <v>180</v>
      </c>
      <c r="K10" s="9" t="s">
        <v>183</v>
      </c>
      <c r="L10" s="9" t="s">
        <v>184</v>
      </c>
      <c r="M10" s="7"/>
    </row>
    <row r="11" spans="1:13" x14ac:dyDescent="0.45">
      <c r="A11" s="9" t="s">
        <v>60</v>
      </c>
      <c r="B11" s="9" t="s">
        <v>522</v>
      </c>
      <c r="C11" s="9" t="s">
        <v>164</v>
      </c>
      <c r="D11" s="9" t="s">
        <v>530</v>
      </c>
      <c r="E11" s="9" t="s">
        <v>10</v>
      </c>
      <c r="F11" s="10" t="s">
        <v>179</v>
      </c>
      <c r="G11" s="10">
        <v>198</v>
      </c>
      <c r="H11" s="10">
        <v>79</v>
      </c>
      <c r="I11" s="102">
        <v>15642</v>
      </c>
      <c r="J11" s="10" t="s">
        <v>180</v>
      </c>
      <c r="K11" s="9" t="s">
        <v>181</v>
      </c>
      <c r="L11" s="9" t="s">
        <v>121</v>
      </c>
      <c r="M11" s="7"/>
    </row>
    <row r="12" spans="1:13" x14ac:dyDescent="0.45">
      <c r="A12" s="9" t="s">
        <v>60</v>
      </c>
      <c r="B12" s="9" t="s">
        <v>522</v>
      </c>
      <c r="C12" s="9" t="s">
        <v>164</v>
      </c>
      <c r="D12" s="9" t="s">
        <v>527</v>
      </c>
      <c r="E12" s="9" t="s">
        <v>10</v>
      </c>
      <c r="F12" s="10" t="s">
        <v>165</v>
      </c>
      <c r="G12" s="10">
        <v>210</v>
      </c>
      <c r="H12" s="10">
        <v>62</v>
      </c>
      <c r="I12" s="102">
        <v>13020</v>
      </c>
      <c r="J12" s="10" t="s">
        <v>166</v>
      </c>
      <c r="K12" s="9" t="s">
        <v>167</v>
      </c>
      <c r="L12" s="9" t="s">
        <v>168</v>
      </c>
      <c r="M12" s="7"/>
    </row>
    <row r="13" spans="1:13" x14ac:dyDescent="0.45">
      <c r="A13" s="9" t="s">
        <v>60</v>
      </c>
      <c r="B13" s="9" t="s">
        <v>524</v>
      </c>
      <c r="C13" s="9" t="s">
        <v>4</v>
      </c>
      <c r="D13" s="9" t="s">
        <v>523</v>
      </c>
      <c r="E13" s="9" t="s">
        <v>87</v>
      </c>
      <c r="F13" s="10" t="s">
        <v>88</v>
      </c>
      <c r="G13" s="10">
        <v>200</v>
      </c>
      <c r="H13" s="10">
        <v>159</v>
      </c>
      <c r="I13" s="102">
        <v>31800</v>
      </c>
      <c r="J13" s="10" t="s">
        <v>89</v>
      </c>
      <c r="K13" s="9" t="s">
        <v>90</v>
      </c>
      <c r="L13" s="9"/>
      <c r="M13" s="7"/>
    </row>
    <row r="14" spans="1:13" x14ac:dyDescent="0.45">
      <c r="A14" s="9" t="s">
        <v>60</v>
      </c>
      <c r="B14" s="9" t="s">
        <v>528</v>
      </c>
      <c r="C14" s="9" t="s">
        <v>4</v>
      </c>
      <c r="D14" s="9" t="s">
        <v>527</v>
      </c>
      <c r="E14" s="9" t="s">
        <v>87</v>
      </c>
      <c r="F14" s="10" t="s">
        <v>98</v>
      </c>
      <c r="G14" s="10">
        <v>331</v>
      </c>
      <c r="H14" s="10">
        <v>77</v>
      </c>
      <c r="I14" s="102">
        <v>25487</v>
      </c>
      <c r="J14" s="10" t="s">
        <v>99</v>
      </c>
      <c r="K14" s="9" t="s">
        <v>100</v>
      </c>
      <c r="L14" s="9" t="s">
        <v>101</v>
      </c>
      <c r="M14" s="7"/>
    </row>
    <row r="15" spans="1:13" x14ac:dyDescent="0.45">
      <c r="A15" s="9" t="s">
        <v>60</v>
      </c>
      <c r="B15" s="9" t="s">
        <v>529</v>
      </c>
      <c r="C15" s="9" t="s">
        <v>103</v>
      </c>
      <c r="D15" s="9" t="s">
        <v>527</v>
      </c>
      <c r="E15" s="9" t="s">
        <v>161</v>
      </c>
      <c r="F15" s="10" t="s">
        <v>162</v>
      </c>
      <c r="G15" s="10">
        <v>160</v>
      </c>
      <c r="H15" s="10">
        <v>82</v>
      </c>
      <c r="I15" s="102">
        <v>13120</v>
      </c>
      <c r="J15" s="10" t="s">
        <v>163</v>
      </c>
      <c r="K15" s="9" t="s">
        <v>90</v>
      </c>
      <c r="L15" s="9"/>
      <c r="M15" s="7"/>
    </row>
    <row r="16" spans="1:13" x14ac:dyDescent="0.45">
      <c r="A16" s="9" t="s">
        <v>60</v>
      </c>
      <c r="B16" s="9" t="s">
        <v>524</v>
      </c>
      <c r="C16" s="9" t="s">
        <v>103</v>
      </c>
      <c r="D16" s="9" t="s">
        <v>523</v>
      </c>
      <c r="E16" s="9" t="s">
        <v>161</v>
      </c>
      <c r="F16" s="10" t="s">
        <v>162</v>
      </c>
      <c r="G16" s="10">
        <v>160</v>
      </c>
      <c r="H16" s="10">
        <v>156</v>
      </c>
      <c r="I16" s="102">
        <v>24960</v>
      </c>
      <c r="J16" s="10" t="s">
        <v>163</v>
      </c>
      <c r="K16" s="9" t="s">
        <v>90</v>
      </c>
      <c r="L16" s="9"/>
      <c r="M16" s="7"/>
    </row>
    <row r="17" spans="1:13" x14ac:dyDescent="0.45">
      <c r="A17" s="9" t="s">
        <v>60</v>
      </c>
      <c r="B17" s="9" t="s">
        <v>525</v>
      </c>
      <c r="C17" s="9" t="s">
        <v>103</v>
      </c>
      <c r="D17" s="9" t="s">
        <v>523</v>
      </c>
      <c r="E17" s="9" t="s">
        <v>161</v>
      </c>
      <c r="F17" s="10" t="s">
        <v>162</v>
      </c>
      <c r="G17" s="10">
        <v>160</v>
      </c>
      <c r="H17" s="10">
        <v>153</v>
      </c>
      <c r="I17" s="102">
        <v>24480</v>
      </c>
      <c r="J17" s="10" t="s">
        <v>163</v>
      </c>
      <c r="K17" s="9" t="s">
        <v>90</v>
      </c>
      <c r="L17" s="9"/>
      <c r="M17" s="7"/>
    </row>
    <row r="18" spans="1:13" x14ac:dyDescent="0.45">
      <c r="A18" s="9" t="s">
        <v>60</v>
      </c>
      <c r="B18" s="9" t="s">
        <v>526</v>
      </c>
      <c r="C18" s="9" t="s">
        <v>103</v>
      </c>
      <c r="D18" s="9" t="s">
        <v>527</v>
      </c>
      <c r="E18" s="9" t="s">
        <v>161</v>
      </c>
      <c r="F18" s="10" t="s">
        <v>162</v>
      </c>
      <c r="G18" s="10">
        <v>160</v>
      </c>
      <c r="H18" s="10">
        <v>79</v>
      </c>
      <c r="I18" s="102">
        <v>12640</v>
      </c>
      <c r="J18" s="10" t="s">
        <v>163</v>
      </c>
      <c r="K18" s="9" t="s">
        <v>90</v>
      </c>
      <c r="L18" s="9"/>
      <c r="M18" s="7"/>
    </row>
    <row r="19" spans="1:13" x14ac:dyDescent="0.45">
      <c r="A19" s="9" t="s">
        <v>60</v>
      </c>
      <c r="B19" s="9" t="s">
        <v>528</v>
      </c>
      <c r="C19" s="9" t="s">
        <v>103</v>
      </c>
      <c r="D19" s="9" t="s">
        <v>527</v>
      </c>
      <c r="E19" s="9" t="s">
        <v>161</v>
      </c>
      <c r="F19" s="10" t="s">
        <v>162</v>
      </c>
      <c r="G19" s="10">
        <v>160</v>
      </c>
      <c r="H19" s="10">
        <v>78</v>
      </c>
      <c r="I19" s="102">
        <v>12480</v>
      </c>
      <c r="J19" s="10" t="s">
        <v>163</v>
      </c>
      <c r="K19" s="9" t="s">
        <v>90</v>
      </c>
      <c r="L19" s="9"/>
      <c r="M19" s="7"/>
    </row>
    <row r="20" spans="1:13" x14ac:dyDescent="0.45">
      <c r="A20" s="9" t="s">
        <v>245</v>
      </c>
      <c r="B20" s="9" t="s">
        <v>531</v>
      </c>
      <c r="C20" s="9" t="s">
        <v>4</v>
      </c>
      <c r="D20" s="9" t="s">
        <v>532</v>
      </c>
      <c r="E20" s="9" t="s">
        <v>161</v>
      </c>
      <c r="F20" s="10" t="s">
        <v>47</v>
      </c>
      <c r="G20" s="10">
        <v>160</v>
      </c>
      <c r="H20" s="10">
        <v>61</v>
      </c>
      <c r="I20" s="102">
        <v>9760</v>
      </c>
      <c r="J20" s="10" t="s">
        <v>214</v>
      </c>
      <c r="K20" s="9" t="s">
        <v>215</v>
      </c>
      <c r="L20" s="9" t="s">
        <v>216</v>
      </c>
      <c r="M20" s="7"/>
    </row>
    <row r="21" spans="1:13" x14ac:dyDescent="0.45">
      <c r="A21" s="9" t="s">
        <v>245</v>
      </c>
      <c r="B21" s="9" t="s">
        <v>533</v>
      </c>
      <c r="C21" s="9" t="s">
        <v>4</v>
      </c>
      <c r="D21" s="9" t="s">
        <v>534</v>
      </c>
      <c r="E21" s="9" t="s">
        <v>161</v>
      </c>
      <c r="F21" s="10" t="s">
        <v>47</v>
      </c>
      <c r="G21" s="10">
        <v>160</v>
      </c>
      <c r="H21" s="10">
        <v>7</v>
      </c>
      <c r="I21" s="102">
        <v>1120</v>
      </c>
      <c r="J21" s="10" t="s">
        <v>214</v>
      </c>
      <c r="K21" s="9" t="s">
        <v>215</v>
      </c>
      <c r="L21" s="9" t="s">
        <v>216</v>
      </c>
      <c r="M21" s="7"/>
    </row>
    <row r="22" spans="1:13" x14ac:dyDescent="0.45">
      <c r="A22" s="9" t="s">
        <v>245</v>
      </c>
      <c r="B22" s="9" t="s">
        <v>535</v>
      </c>
      <c r="C22" s="9" t="s">
        <v>4</v>
      </c>
      <c r="D22" s="9" t="s">
        <v>534</v>
      </c>
      <c r="E22" s="9" t="s">
        <v>161</v>
      </c>
      <c r="F22" s="10" t="s">
        <v>47</v>
      </c>
      <c r="G22" s="10">
        <v>160</v>
      </c>
      <c r="H22" s="10">
        <v>10</v>
      </c>
      <c r="I22" s="102">
        <v>1600</v>
      </c>
      <c r="J22" s="10" t="s">
        <v>214</v>
      </c>
      <c r="K22" s="9" t="s">
        <v>215</v>
      </c>
      <c r="L22" s="9" t="s">
        <v>216</v>
      </c>
      <c r="M22" s="7"/>
    </row>
    <row r="23" spans="1:13" x14ac:dyDescent="0.45">
      <c r="A23" s="9" t="s">
        <v>245</v>
      </c>
      <c r="B23" s="9" t="s">
        <v>531</v>
      </c>
      <c r="C23" s="9" t="s">
        <v>103</v>
      </c>
      <c r="D23" s="9" t="s">
        <v>523</v>
      </c>
      <c r="E23" s="9" t="s">
        <v>161</v>
      </c>
      <c r="F23" s="10" t="s">
        <v>235</v>
      </c>
      <c r="G23" s="10">
        <v>150</v>
      </c>
      <c r="H23" s="10">
        <v>66</v>
      </c>
      <c r="I23" s="102">
        <v>9900</v>
      </c>
      <c r="J23" s="10" t="s">
        <v>236</v>
      </c>
      <c r="K23" s="9" t="s">
        <v>90</v>
      </c>
      <c r="L23" s="9"/>
      <c r="M23" s="7"/>
    </row>
    <row r="24" spans="1:13" x14ac:dyDescent="0.45">
      <c r="A24" s="9" t="s">
        <v>245</v>
      </c>
      <c r="B24" s="9" t="s">
        <v>531</v>
      </c>
      <c r="C24" s="9" t="s">
        <v>103</v>
      </c>
      <c r="D24" s="9" t="s">
        <v>523</v>
      </c>
      <c r="E24" s="9" t="s">
        <v>161</v>
      </c>
      <c r="F24" s="10" t="s">
        <v>162</v>
      </c>
      <c r="G24" s="10">
        <v>160</v>
      </c>
      <c r="H24" s="10">
        <v>66</v>
      </c>
      <c r="I24" s="102">
        <v>10560</v>
      </c>
      <c r="J24" s="10" t="s">
        <v>163</v>
      </c>
      <c r="K24" s="9" t="s">
        <v>90</v>
      </c>
      <c r="L24" s="9"/>
      <c r="M24" s="7"/>
    </row>
    <row r="25" spans="1:13" x14ac:dyDescent="0.45">
      <c r="A25" s="9" t="s">
        <v>245</v>
      </c>
      <c r="B25" s="9" t="s">
        <v>533</v>
      </c>
      <c r="C25" s="9" t="s">
        <v>103</v>
      </c>
      <c r="D25" s="9" t="s">
        <v>534</v>
      </c>
      <c r="E25" s="9" t="s">
        <v>161</v>
      </c>
      <c r="F25" s="10" t="s">
        <v>235</v>
      </c>
      <c r="G25" s="10">
        <v>150</v>
      </c>
      <c r="H25" s="10">
        <v>20</v>
      </c>
      <c r="I25" s="102">
        <v>3000</v>
      </c>
      <c r="J25" s="10" t="s">
        <v>236</v>
      </c>
      <c r="K25" s="9" t="s">
        <v>90</v>
      </c>
      <c r="L25" s="9"/>
      <c r="M25" s="7"/>
    </row>
    <row r="26" spans="1:13" x14ac:dyDescent="0.45">
      <c r="A26" s="9" t="s">
        <v>245</v>
      </c>
      <c r="B26" s="9" t="s">
        <v>533</v>
      </c>
      <c r="C26" s="9" t="s">
        <v>103</v>
      </c>
      <c r="D26" s="9" t="s">
        <v>534</v>
      </c>
      <c r="E26" s="9" t="s">
        <v>161</v>
      </c>
      <c r="F26" s="10" t="s">
        <v>162</v>
      </c>
      <c r="G26" s="10">
        <v>160</v>
      </c>
      <c r="H26" s="10">
        <v>20</v>
      </c>
      <c r="I26" s="102">
        <v>3200</v>
      </c>
      <c r="J26" s="10" t="s">
        <v>163</v>
      </c>
      <c r="K26" s="9" t="s">
        <v>90</v>
      </c>
      <c r="L26" s="9"/>
      <c r="M26" s="7"/>
    </row>
    <row r="27" spans="1:13" x14ac:dyDescent="0.45">
      <c r="A27" s="9" t="s">
        <v>245</v>
      </c>
      <c r="B27" s="9" t="s">
        <v>535</v>
      </c>
      <c r="C27" s="9" t="s">
        <v>103</v>
      </c>
      <c r="D27" s="9" t="s">
        <v>534</v>
      </c>
      <c r="E27" s="9" t="s">
        <v>161</v>
      </c>
      <c r="F27" s="10" t="s">
        <v>235</v>
      </c>
      <c r="G27" s="10">
        <v>150</v>
      </c>
      <c r="H27" s="10">
        <v>10</v>
      </c>
      <c r="I27" s="102">
        <v>1500</v>
      </c>
      <c r="J27" s="10" t="s">
        <v>236</v>
      </c>
      <c r="K27" s="9" t="s">
        <v>90</v>
      </c>
      <c r="L27" s="9"/>
      <c r="M27" s="7"/>
    </row>
    <row r="28" spans="1:13" x14ac:dyDescent="0.45">
      <c r="A28" s="9" t="s">
        <v>245</v>
      </c>
      <c r="B28" s="9" t="s">
        <v>535</v>
      </c>
      <c r="C28" s="9" t="s">
        <v>103</v>
      </c>
      <c r="D28" s="9" t="s">
        <v>534</v>
      </c>
      <c r="E28" s="9" t="s">
        <v>161</v>
      </c>
      <c r="F28" s="10" t="s">
        <v>162</v>
      </c>
      <c r="G28" s="10">
        <v>160</v>
      </c>
      <c r="H28" s="10">
        <v>10</v>
      </c>
      <c r="I28" s="102">
        <v>1600</v>
      </c>
      <c r="J28" s="10" t="s">
        <v>163</v>
      </c>
      <c r="K28" s="9" t="s">
        <v>90</v>
      </c>
      <c r="L28" s="9"/>
      <c r="M28" s="7"/>
    </row>
    <row r="29" spans="1:13" x14ac:dyDescent="0.45">
      <c r="A29" s="9" t="s">
        <v>60</v>
      </c>
      <c r="B29" s="9" t="s">
        <v>522</v>
      </c>
      <c r="C29" s="9" t="s">
        <v>4</v>
      </c>
      <c r="D29" s="9" t="s">
        <v>523</v>
      </c>
      <c r="E29" s="9" t="s">
        <v>32</v>
      </c>
      <c r="F29" s="10" t="s">
        <v>33</v>
      </c>
      <c r="G29" s="10">
        <v>262</v>
      </c>
      <c r="H29" s="10">
        <v>154</v>
      </c>
      <c r="I29" s="102">
        <v>40348</v>
      </c>
      <c r="J29" s="10" t="s">
        <v>34</v>
      </c>
      <c r="K29" s="9" t="s">
        <v>35</v>
      </c>
      <c r="L29" s="9" t="s">
        <v>36</v>
      </c>
      <c r="M29" s="7"/>
    </row>
    <row r="30" spans="1:13" x14ac:dyDescent="0.45">
      <c r="A30" s="9" t="s">
        <v>60</v>
      </c>
      <c r="B30" s="9" t="s">
        <v>529</v>
      </c>
      <c r="C30" s="9" t="s">
        <v>4</v>
      </c>
      <c r="D30" s="9" t="s">
        <v>527</v>
      </c>
      <c r="E30" s="9" t="s">
        <v>46</v>
      </c>
      <c r="F30" s="10" t="s">
        <v>50</v>
      </c>
      <c r="G30" s="10">
        <v>155</v>
      </c>
      <c r="H30" s="10">
        <v>78</v>
      </c>
      <c r="I30" s="102">
        <v>12090</v>
      </c>
      <c r="J30" s="10" t="s">
        <v>51</v>
      </c>
      <c r="K30" s="9" t="s">
        <v>52</v>
      </c>
      <c r="L30" s="9" t="s">
        <v>53</v>
      </c>
      <c r="M30" s="7"/>
    </row>
    <row r="31" spans="1:13" x14ac:dyDescent="0.45">
      <c r="A31" s="9" t="s">
        <v>60</v>
      </c>
      <c r="B31" s="9" t="s">
        <v>529</v>
      </c>
      <c r="C31" s="9" t="s">
        <v>4</v>
      </c>
      <c r="D31" s="9" t="s">
        <v>527</v>
      </c>
      <c r="E31" s="9" t="s">
        <v>46</v>
      </c>
      <c r="F31" s="10" t="s">
        <v>47</v>
      </c>
      <c r="G31" s="10">
        <v>168</v>
      </c>
      <c r="H31" s="10">
        <v>78</v>
      </c>
      <c r="I31" s="102">
        <v>13104</v>
      </c>
      <c r="J31" s="10" t="s">
        <v>48</v>
      </c>
      <c r="K31" s="9" t="s">
        <v>49</v>
      </c>
      <c r="L31" s="9" t="s">
        <v>102</v>
      </c>
      <c r="M31" s="7"/>
    </row>
    <row r="32" spans="1:13" x14ac:dyDescent="0.45">
      <c r="A32" s="9" t="s">
        <v>60</v>
      </c>
      <c r="B32" s="9" t="s">
        <v>524</v>
      </c>
      <c r="C32" s="9" t="s">
        <v>4</v>
      </c>
      <c r="D32" s="9" t="s">
        <v>523</v>
      </c>
      <c r="E32" s="9" t="s">
        <v>46</v>
      </c>
      <c r="F32" s="10" t="s">
        <v>50</v>
      </c>
      <c r="G32" s="10">
        <v>155</v>
      </c>
      <c r="H32" s="10">
        <v>159</v>
      </c>
      <c r="I32" s="102">
        <v>24645</v>
      </c>
      <c r="J32" s="10" t="s">
        <v>51</v>
      </c>
      <c r="K32" s="9" t="s">
        <v>52</v>
      </c>
      <c r="L32" s="9" t="s">
        <v>53</v>
      </c>
      <c r="M32" s="7"/>
    </row>
    <row r="33" spans="1:13" x14ac:dyDescent="0.45">
      <c r="A33" s="9" t="s">
        <v>60</v>
      </c>
      <c r="B33" s="9" t="s">
        <v>524</v>
      </c>
      <c r="C33" s="9" t="s">
        <v>4</v>
      </c>
      <c r="D33" s="9" t="s">
        <v>523</v>
      </c>
      <c r="E33" s="9" t="s">
        <v>46</v>
      </c>
      <c r="F33" s="10" t="s">
        <v>47</v>
      </c>
      <c r="G33" s="10">
        <v>168</v>
      </c>
      <c r="H33" s="10">
        <v>159</v>
      </c>
      <c r="I33" s="102">
        <v>26712</v>
      </c>
      <c r="J33" s="10" t="s">
        <v>48</v>
      </c>
      <c r="K33" s="9" t="s">
        <v>49</v>
      </c>
      <c r="L33" s="9" t="s">
        <v>102</v>
      </c>
      <c r="M33" s="7"/>
    </row>
    <row r="34" spans="1:13" x14ac:dyDescent="0.45">
      <c r="A34" s="9" t="s">
        <v>60</v>
      </c>
      <c r="B34" s="9" t="s">
        <v>525</v>
      </c>
      <c r="C34" s="9" t="s">
        <v>4</v>
      </c>
      <c r="D34" s="9" t="s">
        <v>523</v>
      </c>
      <c r="E34" s="9" t="s">
        <v>46</v>
      </c>
      <c r="F34" s="10" t="s">
        <v>50</v>
      </c>
      <c r="G34" s="10">
        <v>155</v>
      </c>
      <c r="H34" s="10">
        <v>156</v>
      </c>
      <c r="I34" s="102">
        <v>24180</v>
      </c>
      <c r="J34" s="10" t="s">
        <v>51</v>
      </c>
      <c r="K34" s="9" t="s">
        <v>52</v>
      </c>
      <c r="L34" s="9" t="s">
        <v>53</v>
      </c>
      <c r="M34" s="7"/>
    </row>
    <row r="35" spans="1:13" x14ac:dyDescent="0.45">
      <c r="A35" s="9" t="s">
        <v>60</v>
      </c>
      <c r="B35" s="9" t="s">
        <v>525</v>
      </c>
      <c r="C35" s="9" t="s">
        <v>4</v>
      </c>
      <c r="D35" s="9" t="s">
        <v>523</v>
      </c>
      <c r="E35" s="9" t="s">
        <v>46</v>
      </c>
      <c r="F35" s="10" t="s">
        <v>47</v>
      </c>
      <c r="G35" s="10">
        <v>168</v>
      </c>
      <c r="H35" s="10">
        <v>156</v>
      </c>
      <c r="I35" s="102">
        <v>26208</v>
      </c>
      <c r="J35" s="10" t="s">
        <v>48</v>
      </c>
      <c r="K35" s="9" t="s">
        <v>49</v>
      </c>
      <c r="L35" s="9" t="s">
        <v>102</v>
      </c>
      <c r="M35" s="7"/>
    </row>
    <row r="36" spans="1:13" x14ac:dyDescent="0.45">
      <c r="A36" s="9" t="s">
        <v>60</v>
      </c>
      <c r="B36" s="9" t="s">
        <v>526</v>
      </c>
      <c r="C36" s="9" t="s">
        <v>4</v>
      </c>
      <c r="D36" s="9" t="s">
        <v>527</v>
      </c>
      <c r="E36" s="9" t="s">
        <v>46</v>
      </c>
      <c r="F36" s="10" t="s">
        <v>50</v>
      </c>
      <c r="G36" s="10">
        <v>155</v>
      </c>
      <c r="H36" s="10">
        <v>75</v>
      </c>
      <c r="I36" s="102">
        <v>11625</v>
      </c>
      <c r="J36" s="10" t="s">
        <v>51</v>
      </c>
      <c r="K36" s="9" t="s">
        <v>52</v>
      </c>
      <c r="L36" s="9" t="s">
        <v>53</v>
      </c>
      <c r="M36" s="7"/>
    </row>
    <row r="37" spans="1:13" x14ac:dyDescent="0.45">
      <c r="A37" s="9" t="s">
        <v>60</v>
      </c>
      <c r="B37" s="9" t="s">
        <v>526</v>
      </c>
      <c r="C37" s="9" t="s">
        <v>4</v>
      </c>
      <c r="D37" s="9" t="s">
        <v>527</v>
      </c>
      <c r="E37" s="9" t="s">
        <v>46</v>
      </c>
      <c r="F37" s="10" t="s">
        <v>47</v>
      </c>
      <c r="G37" s="10">
        <v>168</v>
      </c>
      <c r="H37" s="10">
        <v>75</v>
      </c>
      <c r="I37" s="102">
        <v>12600</v>
      </c>
      <c r="J37" s="10" t="s">
        <v>48</v>
      </c>
      <c r="K37" s="9" t="s">
        <v>49</v>
      </c>
      <c r="L37" s="9" t="s">
        <v>102</v>
      </c>
      <c r="M37" s="7"/>
    </row>
    <row r="38" spans="1:13" x14ac:dyDescent="0.45">
      <c r="A38" s="9" t="s">
        <v>60</v>
      </c>
      <c r="B38" s="9" t="s">
        <v>522</v>
      </c>
      <c r="C38" s="9" t="s">
        <v>4</v>
      </c>
      <c r="D38" s="9" t="s">
        <v>523</v>
      </c>
      <c r="E38" s="9" t="s">
        <v>46</v>
      </c>
      <c r="F38" s="10" t="s">
        <v>50</v>
      </c>
      <c r="G38" s="10">
        <v>155</v>
      </c>
      <c r="H38" s="10">
        <v>154</v>
      </c>
      <c r="I38" s="102">
        <v>23870</v>
      </c>
      <c r="J38" s="10" t="s">
        <v>51</v>
      </c>
      <c r="K38" s="9" t="s">
        <v>52</v>
      </c>
      <c r="L38" s="9" t="s">
        <v>53</v>
      </c>
      <c r="M38" s="7"/>
    </row>
    <row r="39" spans="1:13" x14ac:dyDescent="0.45">
      <c r="A39" s="9" t="s">
        <v>60</v>
      </c>
      <c r="B39" s="9" t="s">
        <v>522</v>
      </c>
      <c r="C39" s="9" t="s">
        <v>4</v>
      </c>
      <c r="D39" s="9" t="s">
        <v>523</v>
      </c>
      <c r="E39" s="9" t="s">
        <v>46</v>
      </c>
      <c r="F39" s="10" t="s">
        <v>47</v>
      </c>
      <c r="G39" s="10">
        <v>168</v>
      </c>
      <c r="H39" s="10">
        <v>154</v>
      </c>
      <c r="I39" s="102">
        <v>25872</v>
      </c>
      <c r="J39" s="10" t="s">
        <v>48</v>
      </c>
      <c r="K39" s="9" t="s">
        <v>49</v>
      </c>
      <c r="L39" s="9" t="s">
        <v>102</v>
      </c>
      <c r="M39" s="7"/>
    </row>
    <row r="40" spans="1:13" x14ac:dyDescent="0.45">
      <c r="A40" s="9" t="s">
        <v>60</v>
      </c>
      <c r="B40" s="9" t="s">
        <v>528</v>
      </c>
      <c r="C40" s="9" t="s">
        <v>4</v>
      </c>
      <c r="D40" s="9" t="s">
        <v>527</v>
      </c>
      <c r="E40" s="9" t="s">
        <v>46</v>
      </c>
      <c r="F40" s="10" t="s">
        <v>50</v>
      </c>
      <c r="G40" s="10">
        <v>155</v>
      </c>
      <c r="H40" s="10">
        <v>77</v>
      </c>
      <c r="I40" s="102">
        <v>11935</v>
      </c>
      <c r="J40" s="10" t="s">
        <v>51</v>
      </c>
      <c r="K40" s="9" t="s">
        <v>52</v>
      </c>
      <c r="L40" s="9" t="s">
        <v>53</v>
      </c>
      <c r="M40" s="7"/>
    </row>
    <row r="41" spans="1:13" x14ac:dyDescent="0.45">
      <c r="A41" s="9" t="s">
        <v>60</v>
      </c>
      <c r="B41" s="9" t="s">
        <v>528</v>
      </c>
      <c r="C41" s="9" t="s">
        <v>4</v>
      </c>
      <c r="D41" s="9" t="s">
        <v>527</v>
      </c>
      <c r="E41" s="9" t="s">
        <v>46</v>
      </c>
      <c r="F41" s="10" t="s">
        <v>47</v>
      </c>
      <c r="G41" s="10">
        <v>168</v>
      </c>
      <c r="H41" s="10">
        <v>77</v>
      </c>
      <c r="I41" s="102">
        <v>12936</v>
      </c>
      <c r="J41" s="10" t="s">
        <v>48</v>
      </c>
      <c r="K41" s="9" t="s">
        <v>49</v>
      </c>
      <c r="L41" s="9" t="s">
        <v>102</v>
      </c>
      <c r="M41" s="7"/>
    </row>
    <row r="42" spans="1:13" x14ac:dyDescent="0.45">
      <c r="A42" s="9" t="s">
        <v>60</v>
      </c>
      <c r="B42" s="9" t="s">
        <v>529</v>
      </c>
      <c r="C42" s="9" t="s">
        <v>164</v>
      </c>
      <c r="D42" s="9" t="s">
        <v>527</v>
      </c>
      <c r="E42" s="9" t="s">
        <v>46</v>
      </c>
      <c r="F42" s="10" t="s">
        <v>192</v>
      </c>
      <c r="G42" s="10">
        <v>125</v>
      </c>
      <c r="H42" s="10">
        <v>76</v>
      </c>
      <c r="I42" s="102">
        <v>9500</v>
      </c>
      <c r="J42" s="10" t="s">
        <v>193</v>
      </c>
      <c r="K42" s="9" t="s">
        <v>194</v>
      </c>
      <c r="L42" s="9" t="s">
        <v>195</v>
      </c>
      <c r="M42" s="7"/>
    </row>
    <row r="43" spans="1:13" x14ac:dyDescent="0.45">
      <c r="A43" s="9" t="s">
        <v>60</v>
      </c>
      <c r="B43" s="9" t="s">
        <v>524</v>
      </c>
      <c r="C43" s="9" t="s">
        <v>164</v>
      </c>
      <c r="D43" s="9" t="s">
        <v>523</v>
      </c>
      <c r="E43" s="9" t="s">
        <v>46</v>
      </c>
      <c r="F43" s="10" t="s">
        <v>192</v>
      </c>
      <c r="G43" s="10">
        <v>125</v>
      </c>
      <c r="H43" s="10">
        <v>144</v>
      </c>
      <c r="I43" s="102">
        <v>18000</v>
      </c>
      <c r="J43" s="10" t="s">
        <v>193</v>
      </c>
      <c r="K43" s="9" t="s">
        <v>194</v>
      </c>
      <c r="L43" s="9" t="s">
        <v>195</v>
      </c>
      <c r="M43" s="7"/>
    </row>
    <row r="44" spans="1:13" x14ac:dyDescent="0.45">
      <c r="A44" s="9" t="s">
        <v>60</v>
      </c>
      <c r="B44" s="9" t="s">
        <v>525</v>
      </c>
      <c r="C44" s="9" t="s">
        <v>164</v>
      </c>
      <c r="D44" s="9" t="s">
        <v>523</v>
      </c>
      <c r="E44" s="9" t="s">
        <v>46</v>
      </c>
      <c r="F44" s="10" t="s">
        <v>192</v>
      </c>
      <c r="G44" s="10">
        <v>125</v>
      </c>
      <c r="H44" s="10">
        <v>140</v>
      </c>
      <c r="I44" s="102">
        <v>17500</v>
      </c>
      <c r="J44" s="10" t="s">
        <v>193</v>
      </c>
      <c r="K44" s="9" t="s">
        <v>194</v>
      </c>
      <c r="L44" s="9" t="s">
        <v>195</v>
      </c>
      <c r="M44" s="7"/>
    </row>
    <row r="45" spans="1:13" x14ac:dyDescent="0.45">
      <c r="A45" s="9" t="s">
        <v>60</v>
      </c>
      <c r="B45" s="9" t="s">
        <v>526</v>
      </c>
      <c r="C45" s="9" t="s">
        <v>164</v>
      </c>
      <c r="D45" s="9" t="s">
        <v>527</v>
      </c>
      <c r="E45" s="9" t="s">
        <v>46</v>
      </c>
      <c r="F45" s="10" t="s">
        <v>192</v>
      </c>
      <c r="G45" s="10">
        <v>125</v>
      </c>
      <c r="H45" s="10">
        <v>68</v>
      </c>
      <c r="I45" s="102">
        <v>8500</v>
      </c>
      <c r="J45" s="10" t="s">
        <v>193</v>
      </c>
      <c r="K45" s="9" t="s">
        <v>194</v>
      </c>
      <c r="L45" s="9" t="s">
        <v>195</v>
      </c>
      <c r="M45" s="7"/>
    </row>
    <row r="46" spans="1:13" x14ac:dyDescent="0.45">
      <c r="A46" s="9" t="s">
        <v>60</v>
      </c>
      <c r="B46" s="9" t="s">
        <v>522</v>
      </c>
      <c r="C46" s="9" t="s">
        <v>164</v>
      </c>
      <c r="D46" s="9" t="s">
        <v>523</v>
      </c>
      <c r="E46" s="9" t="s">
        <v>46</v>
      </c>
      <c r="F46" s="10" t="s">
        <v>192</v>
      </c>
      <c r="G46" s="10">
        <v>125</v>
      </c>
      <c r="H46" s="10">
        <v>141</v>
      </c>
      <c r="I46" s="102">
        <v>17625</v>
      </c>
      <c r="J46" s="10" t="s">
        <v>193</v>
      </c>
      <c r="K46" s="9" t="s">
        <v>194</v>
      </c>
      <c r="L46" s="9" t="s">
        <v>195</v>
      </c>
      <c r="M46" s="7"/>
    </row>
    <row r="47" spans="1:13" x14ac:dyDescent="0.45">
      <c r="A47" s="9" t="s">
        <v>60</v>
      </c>
      <c r="B47" s="9" t="s">
        <v>528</v>
      </c>
      <c r="C47" s="9" t="s">
        <v>164</v>
      </c>
      <c r="D47" s="9" t="s">
        <v>527</v>
      </c>
      <c r="E47" s="9" t="s">
        <v>46</v>
      </c>
      <c r="F47" s="10" t="s">
        <v>192</v>
      </c>
      <c r="G47" s="10">
        <v>125</v>
      </c>
      <c r="H47" s="10">
        <v>71</v>
      </c>
      <c r="I47" s="102">
        <v>8875</v>
      </c>
      <c r="J47" s="10" t="s">
        <v>193</v>
      </c>
      <c r="K47" s="9" t="s">
        <v>194</v>
      </c>
      <c r="L47" s="9" t="s">
        <v>195</v>
      </c>
      <c r="M47" s="7"/>
    </row>
    <row r="48" spans="1:13" x14ac:dyDescent="0.45">
      <c r="A48" s="9" t="s">
        <v>245</v>
      </c>
      <c r="B48" s="9" t="s">
        <v>531</v>
      </c>
      <c r="C48" s="9" t="s">
        <v>4</v>
      </c>
      <c r="D48" s="9" t="s">
        <v>532</v>
      </c>
      <c r="E48" s="9" t="s">
        <v>46</v>
      </c>
      <c r="F48" s="10" t="s">
        <v>50</v>
      </c>
      <c r="G48" s="10">
        <v>155</v>
      </c>
      <c r="H48" s="10">
        <v>61</v>
      </c>
      <c r="I48" s="102">
        <v>9455</v>
      </c>
      <c r="J48" s="10" t="s">
        <v>51</v>
      </c>
      <c r="K48" s="9" t="s">
        <v>52</v>
      </c>
      <c r="L48" s="9" t="s">
        <v>53</v>
      </c>
      <c r="M48" s="7"/>
    </row>
    <row r="49" spans="1:13" x14ac:dyDescent="0.45">
      <c r="A49" s="9" t="s">
        <v>245</v>
      </c>
      <c r="B49" s="9" t="s">
        <v>533</v>
      </c>
      <c r="C49" s="9" t="s">
        <v>4</v>
      </c>
      <c r="D49" s="9" t="s">
        <v>534</v>
      </c>
      <c r="E49" s="9" t="s">
        <v>46</v>
      </c>
      <c r="F49" s="10" t="s">
        <v>50</v>
      </c>
      <c r="G49" s="10">
        <v>155</v>
      </c>
      <c r="H49" s="10">
        <v>7</v>
      </c>
      <c r="I49" s="102">
        <v>1085</v>
      </c>
      <c r="J49" s="10" t="s">
        <v>51</v>
      </c>
      <c r="K49" s="9" t="s">
        <v>52</v>
      </c>
      <c r="L49" s="9" t="s">
        <v>53</v>
      </c>
      <c r="M49" s="7"/>
    </row>
    <row r="50" spans="1:13" x14ac:dyDescent="0.45">
      <c r="A50" s="9" t="s">
        <v>245</v>
      </c>
      <c r="B50" s="9" t="s">
        <v>535</v>
      </c>
      <c r="C50" s="9" t="s">
        <v>4</v>
      </c>
      <c r="D50" s="9" t="s">
        <v>534</v>
      </c>
      <c r="E50" s="9" t="s">
        <v>46</v>
      </c>
      <c r="F50" s="10" t="s">
        <v>50</v>
      </c>
      <c r="G50" s="10">
        <v>155</v>
      </c>
      <c r="H50" s="10">
        <v>10</v>
      </c>
      <c r="I50" s="102">
        <v>1550</v>
      </c>
      <c r="J50" s="10" t="s">
        <v>51</v>
      </c>
      <c r="K50" s="9" t="s">
        <v>52</v>
      </c>
      <c r="L50" s="9" t="s">
        <v>53</v>
      </c>
      <c r="M50" s="7"/>
    </row>
    <row r="51" spans="1:13" x14ac:dyDescent="0.45">
      <c r="A51" s="9" t="s">
        <v>60</v>
      </c>
      <c r="B51" s="9" t="s">
        <v>529</v>
      </c>
      <c r="C51" s="9" t="s">
        <v>4</v>
      </c>
      <c r="D51" s="9" t="s">
        <v>527</v>
      </c>
      <c r="E51" s="9" t="s">
        <v>61</v>
      </c>
      <c r="F51" s="10" t="s">
        <v>62</v>
      </c>
      <c r="G51" s="10">
        <v>240</v>
      </c>
      <c r="H51" s="10">
        <v>78</v>
      </c>
      <c r="I51" s="102">
        <v>18720</v>
      </c>
      <c r="J51" s="10" t="s">
        <v>63</v>
      </c>
      <c r="K51" s="9" t="s">
        <v>64</v>
      </c>
      <c r="L51" s="9" t="s">
        <v>65</v>
      </c>
      <c r="M51" s="7"/>
    </row>
    <row r="52" spans="1:13" x14ac:dyDescent="0.45">
      <c r="A52" s="9" t="s">
        <v>60</v>
      </c>
      <c r="B52" s="9" t="s">
        <v>524</v>
      </c>
      <c r="C52" s="9" t="s">
        <v>4</v>
      </c>
      <c r="D52" s="9" t="s">
        <v>523</v>
      </c>
      <c r="E52" s="9" t="s">
        <v>61</v>
      </c>
      <c r="F52" s="10" t="s">
        <v>66</v>
      </c>
      <c r="G52" s="10">
        <v>210</v>
      </c>
      <c r="H52" s="10">
        <v>159</v>
      </c>
      <c r="I52" s="102">
        <v>33390</v>
      </c>
      <c r="J52" s="10" t="s">
        <v>24</v>
      </c>
      <c r="K52" s="9" t="s">
        <v>67</v>
      </c>
      <c r="L52" s="9" t="s">
        <v>68</v>
      </c>
      <c r="M52" s="7"/>
    </row>
    <row r="53" spans="1:13" x14ac:dyDescent="0.45">
      <c r="A53" s="9" t="s">
        <v>60</v>
      </c>
      <c r="B53" s="9" t="s">
        <v>524</v>
      </c>
      <c r="C53" s="9" t="s">
        <v>4</v>
      </c>
      <c r="D53" s="9" t="s">
        <v>523</v>
      </c>
      <c r="E53" s="9" t="s">
        <v>61</v>
      </c>
      <c r="F53" s="10" t="s">
        <v>62</v>
      </c>
      <c r="G53" s="10">
        <v>240</v>
      </c>
      <c r="H53" s="10">
        <v>159</v>
      </c>
      <c r="I53" s="102">
        <v>38160</v>
      </c>
      <c r="J53" s="10" t="s">
        <v>63</v>
      </c>
      <c r="K53" s="9" t="s">
        <v>64</v>
      </c>
      <c r="L53" s="9" t="s">
        <v>65</v>
      </c>
      <c r="M53" s="7"/>
    </row>
    <row r="54" spans="1:13" x14ac:dyDescent="0.45">
      <c r="A54" s="9" t="s">
        <v>60</v>
      </c>
      <c r="B54" s="9" t="s">
        <v>525</v>
      </c>
      <c r="C54" s="9" t="s">
        <v>4</v>
      </c>
      <c r="D54" s="9" t="s">
        <v>523</v>
      </c>
      <c r="E54" s="9" t="s">
        <v>61</v>
      </c>
      <c r="F54" s="10" t="s">
        <v>66</v>
      </c>
      <c r="G54" s="10">
        <v>210</v>
      </c>
      <c r="H54" s="10">
        <v>156</v>
      </c>
      <c r="I54" s="102">
        <v>32760</v>
      </c>
      <c r="J54" s="10" t="s">
        <v>24</v>
      </c>
      <c r="K54" s="9" t="s">
        <v>67</v>
      </c>
      <c r="L54" s="9" t="s">
        <v>68</v>
      </c>
      <c r="M54" s="7"/>
    </row>
    <row r="55" spans="1:13" x14ac:dyDescent="0.45">
      <c r="A55" s="9" t="s">
        <v>60</v>
      </c>
      <c r="B55" s="9" t="s">
        <v>525</v>
      </c>
      <c r="C55" s="9" t="s">
        <v>4</v>
      </c>
      <c r="D55" s="9" t="s">
        <v>523</v>
      </c>
      <c r="E55" s="9" t="s">
        <v>61</v>
      </c>
      <c r="F55" s="10" t="s">
        <v>62</v>
      </c>
      <c r="G55" s="10">
        <v>240</v>
      </c>
      <c r="H55" s="10">
        <v>156</v>
      </c>
      <c r="I55" s="102">
        <v>37440</v>
      </c>
      <c r="J55" s="10" t="s">
        <v>63</v>
      </c>
      <c r="K55" s="9" t="s">
        <v>64</v>
      </c>
      <c r="L55" s="9" t="s">
        <v>65</v>
      </c>
      <c r="M55" s="7"/>
    </row>
    <row r="56" spans="1:13" x14ac:dyDescent="0.45">
      <c r="A56" s="9" t="s">
        <v>60</v>
      </c>
      <c r="B56" s="9" t="s">
        <v>526</v>
      </c>
      <c r="C56" s="9" t="s">
        <v>4</v>
      </c>
      <c r="D56" s="9" t="s">
        <v>527</v>
      </c>
      <c r="E56" s="9" t="s">
        <v>61</v>
      </c>
      <c r="F56" s="10" t="s">
        <v>66</v>
      </c>
      <c r="G56" s="10">
        <v>210</v>
      </c>
      <c r="H56" s="10">
        <v>75</v>
      </c>
      <c r="I56" s="102">
        <v>15750</v>
      </c>
      <c r="J56" s="10" t="s">
        <v>24</v>
      </c>
      <c r="K56" s="9" t="s">
        <v>67</v>
      </c>
      <c r="L56" s="9" t="s">
        <v>68</v>
      </c>
      <c r="M56" s="7"/>
    </row>
    <row r="57" spans="1:13" x14ac:dyDescent="0.45">
      <c r="A57" s="9" t="s">
        <v>60</v>
      </c>
      <c r="B57" s="9" t="s">
        <v>526</v>
      </c>
      <c r="C57" s="9" t="s">
        <v>4</v>
      </c>
      <c r="D57" s="9" t="s">
        <v>527</v>
      </c>
      <c r="E57" s="9" t="s">
        <v>61</v>
      </c>
      <c r="F57" s="10" t="s">
        <v>62</v>
      </c>
      <c r="G57" s="10">
        <v>240</v>
      </c>
      <c r="H57" s="10">
        <v>75</v>
      </c>
      <c r="I57" s="102">
        <v>18000</v>
      </c>
      <c r="J57" s="10" t="s">
        <v>63</v>
      </c>
      <c r="K57" s="9" t="s">
        <v>64</v>
      </c>
      <c r="L57" s="9" t="s">
        <v>65</v>
      </c>
      <c r="M57" s="7"/>
    </row>
    <row r="58" spans="1:13" x14ac:dyDescent="0.45">
      <c r="A58" s="9" t="s">
        <v>60</v>
      </c>
      <c r="B58" s="9" t="s">
        <v>528</v>
      </c>
      <c r="C58" s="9" t="s">
        <v>4</v>
      </c>
      <c r="D58" s="9" t="s">
        <v>527</v>
      </c>
      <c r="E58" s="9" t="s">
        <v>61</v>
      </c>
      <c r="F58" s="10" t="s">
        <v>66</v>
      </c>
      <c r="G58" s="10">
        <v>210</v>
      </c>
      <c r="H58" s="10">
        <v>77</v>
      </c>
      <c r="I58" s="102">
        <v>16170</v>
      </c>
      <c r="J58" s="10" t="s">
        <v>24</v>
      </c>
      <c r="K58" s="9" t="s">
        <v>67</v>
      </c>
      <c r="L58" s="9" t="s">
        <v>68</v>
      </c>
      <c r="M58" s="7"/>
    </row>
    <row r="59" spans="1:13" x14ac:dyDescent="0.45">
      <c r="A59" s="9" t="s">
        <v>60</v>
      </c>
      <c r="B59" s="9" t="s">
        <v>528</v>
      </c>
      <c r="C59" s="9" t="s">
        <v>4</v>
      </c>
      <c r="D59" s="9" t="s">
        <v>527</v>
      </c>
      <c r="E59" s="9" t="s">
        <v>61</v>
      </c>
      <c r="F59" s="10" t="s">
        <v>62</v>
      </c>
      <c r="G59" s="10">
        <v>240</v>
      </c>
      <c r="H59" s="10">
        <v>77</v>
      </c>
      <c r="I59" s="102">
        <v>18480</v>
      </c>
      <c r="J59" s="10" t="s">
        <v>63</v>
      </c>
      <c r="K59" s="9" t="s">
        <v>64</v>
      </c>
      <c r="L59" s="9" t="s">
        <v>65</v>
      </c>
      <c r="M59" s="7"/>
    </row>
    <row r="60" spans="1:13" x14ac:dyDescent="0.45">
      <c r="A60" s="9" t="s">
        <v>60</v>
      </c>
      <c r="B60" s="9" t="s">
        <v>524</v>
      </c>
      <c r="C60" s="9" t="s">
        <v>103</v>
      </c>
      <c r="D60" s="9" t="s">
        <v>523</v>
      </c>
      <c r="E60" s="9" t="s">
        <v>61</v>
      </c>
      <c r="F60" s="10" t="s">
        <v>122</v>
      </c>
      <c r="G60" s="10">
        <v>230</v>
      </c>
      <c r="H60" s="10">
        <v>156</v>
      </c>
      <c r="I60" s="102">
        <v>35880</v>
      </c>
      <c r="J60" s="10" t="s">
        <v>24</v>
      </c>
      <c r="K60" s="9" t="s">
        <v>123</v>
      </c>
      <c r="L60" s="9" t="s">
        <v>124</v>
      </c>
      <c r="M60" s="7"/>
    </row>
    <row r="61" spans="1:13" x14ac:dyDescent="0.45">
      <c r="A61" s="9" t="s">
        <v>60</v>
      </c>
      <c r="B61" s="9" t="s">
        <v>525</v>
      </c>
      <c r="C61" s="9" t="s">
        <v>103</v>
      </c>
      <c r="D61" s="9" t="s">
        <v>523</v>
      </c>
      <c r="E61" s="9" t="s">
        <v>61</v>
      </c>
      <c r="F61" s="10" t="s">
        <v>122</v>
      </c>
      <c r="G61" s="10">
        <v>230</v>
      </c>
      <c r="H61" s="10">
        <v>153</v>
      </c>
      <c r="I61" s="102">
        <v>35190</v>
      </c>
      <c r="J61" s="10" t="s">
        <v>24</v>
      </c>
      <c r="K61" s="9" t="s">
        <v>123</v>
      </c>
      <c r="L61" s="9" t="s">
        <v>124</v>
      </c>
      <c r="M61" s="7"/>
    </row>
    <row r="62" spans="1:13" x14ac:dyDescent="0.45">
      <c r="A62" s="9" t="s">
        <v>60</v>
      </c>
      <c r="B62" s="9" t="s">
        <v>526</v>
      </c>
      <c r="C62" s="9" t="s">
        <v>103</v>
      </c>
      <c r="D62" s="9" t="s">
        <v>527</v>
      </c>
      <c r="E62" s="9" t="s">
        <v>61</v>
      </c>
      <c r="F62" s="10" t="s">
        <v>122</v>
      </c>
      <c r="G62" s="10">
        <v>230</v>
      </c>
      <c r="H62" s="10">
        <v>79</v>
      </c>
      <c r="I62" s="102">
        <v>18170</v>
      </c>
      <c r="J62" s="10" t="s">
        <v>24</v>
      </c>
      <c r="K62" s="9" t="s">
        <v>123</v>
      </c>
      <c r="L62" s="9" t="s">
        <v>124</v>
      </c>
      <c r="M62" s="7"/>
    </row>
    <row r="63" spans="1:13" x14ac:dyDescent="0.45">
      <c r="A63" s="9" t="s">
        <v>60</v>
      </c>
      <c r="B63" s="9" t="s">
        <v>528</v>
      </c>
      <c r="C63" s="9" t="s">
        <v>103</v>
      </c>
      <c r="D63" s="9" t="s">
        <v>527</v>
      </c>
      <c r="E63" s="9" t="s">
        <v>61</v>
      </c>
      <c r="F63" s="10" t="s">
        <v>122</v>
      </c>
      <c r="G63" s="10">
        <v>230</v>
      </c>
      <c r="H63" s="10">
        <v>78</v>
      </c>
      <c r="I63" s="102">
        <v>17940</v>
      </c>
      <c r="J63" s="10" t="s">
        <v>24</v>
      </c>
      <c r="K63" s="9" t="s">
        <v>123</v>
      </c>
      <c r="L63" s="9" t="s">
        <v>124</v>
      </c>
      <c r="M63" s="7"/>
    </row>
    <row r="64" spans="1:13" x14ac:dyDescent="0.45">
      <c r="A64" s="9" t="s">
        <v>60</v>
      </c>
      <c r="B64" s="9" t="s">
        <v>524</v>
      </c>
      <c r="C64" s="9" t="s">
        <v>164</v>
      </c>
      <c r="D64" s="9" t="s">
        <v>523</v>
      </c>
      <c r="E64" s="9" t="s">
        <v>61</v>
      </c>
      <c r="F64" s="10" t="s">
        <v>176</v>
      </c>
      <c r="G64" s="10">
        <v>240</v>
      </c>
      <c r="H64" s="10">
        <v>144</v>
      </c>
      <c r="I64" s="102">
        <v>34560</v>
      </c>
      <c r="J64" s="10" t="s">
        <v>24</v>
      </c>
      <c r="K64" s="9" t="s">
        <v>177</v>
      </c>
      <c r="L64" s="9" t="s">
        <v>178</v>
      </c>
      <c r="M64" s="7"/>
    </row>
    <row r="65" spans="1:13" x14ac:dyDescent="0.45">
      <c r="A65" s="9" t="s">
        <v>60</v>
      </c>
      <c r="B65" s="9" t="s">
        <v>525</v>
      </c>
      <c r="C65" s="9" t="s">
        <v>164</v>
      </c>
      <c r="D65" s="9" t="s">
        <v>523</v>
      </c>
      <c r="E65" s="9" t="s">
        <v>61</v>
      </c>
      <c r="F65" s="10" t="s">
        <v>176</v>
      </c>
      <c r="G65" s="10">
        <v>240</v>
      </c>
      <c r="H65" s="10">
        <v>140</v>
      </c>
      <c r="I65" s="102">
        <v>33600</v>
      </c>
      <c r="J65" s="10" t="s">
        <v>24</v>
      </c>
      <c r="K65" s="9" t="s">
        <v>177</v>
      </c>
      <c r="L65" s="9" t="s">
        <v>178</v>
      </c>
      <c r="M65" s="7"/>
    </row>
    <row r="66" spans="1:13" x14ac:dyDescent="0.45">
      <c r="A66" s="9" t="s">
        <v>60</v>
      </c>
      <c r="B66" s="9" t="s">
        <v>526</v>
      </c>
      <c r="C66" s="9" t="s">
        <v>164</v>
      </c>
      <c r="D66" s="9" t="s">
        <v>527</v>
      </c>
      <c r="E66" s="9" t="s">
        <v>61</v>
      </c>
      <c r="F66" s="10" t="s">
        <v>176</v>
      </c>
      <c r="G66" s="10">
        <v>240</v>
      </c>
      <c r="H66" s="10">
        <v>68</v>
      </c>
      <c r="I66" s="102">
        <v>16320</v>
      </c>
      <c r="J66" s="10" t="s">
        <v>24</v>
      </c>
      <c r="K66" s="9" t="s">
        <v>177</v>
      </c>
      <c r="L66" s="9" t="s">
        <v>178</v>
      </c>
      <c r="M66" s="7"/>
    </row>
    <row r="67" spans="1:13" x14ac:dyDescent="0.45">
      <c r="A67" s="9" t="s">
        <v>60</v>
      </c>
      <c r="B67" s="9" t="s">
        <v>528</v>
      </c>
      <c r="C67" s="9" t="s">
        <v>164</v>
      </c>
      <c r="D67" s="9" t="s">
        <v>527</v>
      </c>
      <c r="E67" s="9" t="s">
        <v>61</v>
      </c>
      <c r="F67" s="10" t="s">
        <v>176</v>
      </c>
      <c r="G67" s="10">
        <v>240</v>
      </c>
      <c r="H67" s="10">
        <v>71</v>
      </c>
      <c r="I67" s="102">
        <v>17040</v>
      </c>
      <c r="J67" s="10" t="s">
        <v>24</v>
      </c>
      <c r="K67" s="9" t="s">
        <v>177</v>
      </c>
      <c r="L67" s="9" t="s">
        <v>178</v>
      </c>
      <c r="M67" s="7"/>
    </row>
    <row r="68" spans="1:13" x14ac:dyDescent="0.45">
      <c r="A68" s="9" t="s">
        <v>245</v>
      </c>
      <c r="B68" s="9" t="s">
        <v>531</v>
      </c>
      <c r="C68" s="9" t="s">
        <v>4</v>
      </c>
      <c r="D68" s="9" t="s">
        <v>532</v>
      </c>
      <c r="E68" s="9" t="s">
        <v>61</v>
      </c>
      <c r="F68" s="10" t="s">
        <v>199</v>
      </c>
      <c r="G68" s="10">
        <v>160</v>
      </c>
      <c r="H68" s="10">
        <v>61</v>
      </c>
      <c r="I68" s="102">
        <v>9760</v>
      </c>
      <c r="J68" s="10" t="s">
        <v>200</v>
      </c>
      <c r="K68" s="9" t="s">
        <v>201</v>
      </c>
      <c r="L68" s="9" t="s">
        <v>202</v>
      </c>
      <c r="M68" s="7"/>
    </row>
    <row r="69" spans="1:13" x14ac:dyDescent="0.45">
      <c r="A69" s="9" t="s">
        <v>245</v>
      </c>
      <c r="B69" s="9" t="s">
        <v>531</v>
      </c>
      <c r="C69" s="9" t="s">
        <v>4</v>
      </c>
      <c r="D69" s="9" t="s">
        <v>532</v>
      </c>
      <c r="E69" s="9" t="s">
        <v>61</v>
      </c>
      <c r="F69" s="10" t="s">
        <v>62</v>
      </c>
      <c r="G69" s="10">
        <v>240</v>
      </c>
      <c r="H69" s="10">
        <v>61</v>
      </c>
      <c r="I69" s="102">
        <v>14640</v>
      </c>
      <c r="J69" s="10" t="s">
        <v>63</v>
      </c>
      <c r="K69" s="9" t="s">
        <v>64</v>
      </c>
      <c r="L69" s="9" t="s">
        <v>65</v>
      </c>
      <c r="M69" s="7"/>
    </row>
    <row r="70" spans="1:13" x14ac:dyDescent="0.45">
      <c r="A70" s="9" t="s">
        <v>245</v>
      </c>
      <c r="B70" s="9" t="s">
        <v>531</v>
      </c>
      <c r="C70" s="9" t="s">
        <v>4</v>
      </c>
      <c r="D70" s="9" t="s">
        <v>532</v>
      </c>
      <c r="E70" s="9" t="s">
        <v>61</v>
      </c>
      <c r="F70" s="10" t="s">
        <v>210</v>
      </c>
      <c r="G70" s="10">
        <v>210</v>
      </c>
      <c r="H70" s="10">
        <v>61</v>
      </c>
      <c r="I70" s="102">
        <v>12810</v>
      </c>
      <c r="J70" s="10" t="s">
        <v>211</v>
      </c>
      <c r="K70" s="9" t="s">
        <v>212</v>
      </c>
      <c r="L70" s="9" t="s">
        <v>213</v>
      </c>
      <c r="M70" s="7"/>
    </row>
    <row r="71" spans="1:13" x14ac:dyDescent="0.45">
      <c r="A71" s="9" t="s">
        <v>245</v>
      </c>
      <c r="B71" s="9" t="s">
        <v>533</v>
      </c>
      <c r="C71" s="9" t="s">
        <v>4</v>
      </c>
      <c r="D71" s="9" t="s">
        <v>534</v>
      </c>
      <c r="E71" s="9" t="s">
        <v>61</v>
      </c>
      <c r="F71" s="10" t="s">
        <v>199</v>
      </c>
      <c r="G71" s="10">
        <v>160</v>
      </c>
      <c r="H71" s="10">
        <v>7</v>
      </c>
      <c r="I71" s="102">
        <v>1120</v>
      </c>
      <c r="J71" s="10" t="s">
        <v>200</v>
      </c>
      <c r="K71" s="9" t="s">
        <v>201</v>
      </c>
      <c r="L71" s="9" t="s">
        <v>202</v>
      </c>
      <c r="M71" s="7"/>
    </row>
    <row r="72" spans="1:13" x14ac:dyDescent="0.45">
      <c r="A72" s="9" t="s">
        <v>245</v>
      </c>
      <c r="B72" s="9" t="s">
        <v>533</v>
      </c>
      <c r="C72" s="9" t="s">
        <v>4</v>
      </c>
      <c r="D72" s="9" t="s">
        <v>534</v>
      </c>
      <c r="E72" s="9" t="s">
        <v>61</v>
      </c>
      <c r="F72" s="10" t="s">
        <v>62</v>
      </c>
      <c r="G72" s="10">
        <v>240</v>
      </c>
      <c r="H72" s="10">
        <v>7</v>
      </c>
      <c r="I72" s="102">
        <v>1680</v>
      </c>
      <c r="J72" s="10" t="s">
        <v>63</v>
      </c>
      <c r="K72" s="9" t="s">
        <v>64</v>
      </c>
      <c r="L72" s="9" t="s">
        <v>65</v>
      </c>
      <c r="M72" s="7"/>
    </row>
    <row r="73" spans="1:13" x14ac:dyDescent="0.45">
      <c r="A73" s="9" t="s">
        <v>245</v>
      </c>
      <c r="B73" s="9" t="s">
        <v>535</v>
      </c>
      <c r="C73" s="9" t="s">
        <v>4</v>
      </c>
      <c r="D73" s="9" t="s">
        <v>534</v>
      </c>
      <c r="E73" s="9" t="s">
        <v>61</v>
      </c>
      <c r="F73" s="10" t="s">
        <v>199</v>
      </c>
      <c r="G73" s="10">
        <v>160</v>
      </c>
      <c r="H73" s="10">
        <v>10</v>
      </c>
      <c r="I73" s="102">
        <v>1600</v>
      </c>
      <c r="J73" s="10" t="s">
        <v>200</v>
      </c>
      <c r="K73" s="9" t="s">
        <v>201</v>
      </c>
      <c r="L73" s="9" t="s">
        <v>202</v>
      </c>
      <c r="M73" s="7"/>
    </row>
    <row r="74" spans="1:13" x14ac:dyDescent="0.45">
      <c r="A74" s="9" t="s">
        <v>245</v>
      </c>
      <c r="B74" s="9" t="s">
        <v>535</v>
      </c>
      <c r="C74" s="9" t="s">
        <v>4</v>
      </c>
      <c r="D74" s="9" t="s">
        <v>534</v>
      </c>
      <c r="E74" s="9" t="s">
        <v>61</v>
      </c>
      <c r="F74" s="10" t="s">
        <v>62</v>
      </c>
      <c r="G74" s="10">
        <v>240</v>
      </c>
      <c r="H74" s="10">
        <v>10</v>
      </c>
      <c r="I74" s="102">
        <v>2400</v>
      </c>
      <c r="J74" s="10" t="s">
        <v>63</v>
      </c>
      <c r="K74" s="9" t="s">
        <v>64</v>
      </c>
      <c r="L74" s="9" t="s">
        <v>65</v>
      </c>
      <c r="M74" s="7"/>
    </row>
    <row r="75" spans="1:13" x14ac:dyDescent="0.45">
      <c r="A75" s="9" t="s">
        <v>245</v>
      </c>
      <c r="B75" s="9" t="s">
        <v>535</v>
      </c>
      <c r="C75" s="9" t="s">
        <v>4</v>
      </c>
      <c r="D75" s="9" t="s">
        <v>534</v>
      </c>
      <c r="E75" s="9" t="s">
        <v>61</v>
      </c>
      <c r="F75" s="10" t="s">
        <v>210</v>
      </c>
      <c r="G75" s="10">
        <v>210</v>
      </c>
      <c r="H75" s="10">
        <v>10</v>
      </c>
      <c r="I75" s="102">
        <v>2100</v>
      </c>
      <c r="J75" s="10" t="s">
        <v>211</v>
      </c>
      <c r="K75" s="9" t="s">
        <v>212</v>
      </c>
      <c r="L75" s="9" t="s">
        <v>213</v>
      </c>
      <c r="M75" s="7"/>
    </row>
    <row r="76" spans="1:13" x14ac:dyDescent="0.45">
      <c r="A76" s="9" t="s">
        <v>245</v>
      </c>
      <c r="B76" s="9" t="s">
        <v>533</v>
      </c>
      <c r="C76" s="9" t="s">
        <v>164</v>
      </c>
      <c r="D76" s="9" t="s">
        <v>534</v>
      </c>
      <c r="E76" s="9" t="s">
        <v>61</v>
      </c>
      <c r="F76" s="10" t="s">
        <v>210</v>
      </c>
      <c r="G76" s="10">
        <v>210</v>
      </c>
      <c r="H76" s="10">
        <v>27</v>
      </c>
      <c r="I76" s="102">
        <v>5670</v>
      </c>
      <c r="J76" s="10" t="s">
        <v>211</v>
      </c>
      <c r="K76" s="9" t="s">
        <v>212</v>
      </c>
      <c r="L76" s="9" t="s">
        <v>213</v>
      </c>
      <c r="M76" s="7"/>
    </row>
    <row r="77" spans="1:13" x14ac:dyDescent="0.45">
      <c r="A77" s="9" t="s">
        <v>60</v>
      </c>
      <c r="B77" s="9" t="s">
        <v>529</v>
      </c>
      <c r="C77" s="9" t="s">
        <v>4</v>
      </c>
      <c r="D77" s="9" t="s">
        <v>527</v>
      </c>
      <c r="E77" s="9" t="s">
        <v>74</v>
      </c>
      <c r="F77" s="10" t="s">
        <v>83</v>
      </c>
      <c r="G77" s="10">
        <v>200</v>
      </c>
      <c r="H77" s="10">
        <v>78</v>
      </c>
      <c r="I77" s="102">
        <v>15600</v>
      </c>
      <c r="J77" s="10" t="s">
        <v>84</v>
      </c>
      <c r="K77" s="9" t="s">
        <v>85</v>
      </c>
      <c r="L77" s="9" t="s">
        <v>86</v>
      </c>
      <c r="M77" s="7"/>
    </row>
    <row r="78" spans="1:13" x14ac:dyDescent="0.45">
      <c r="A78" s="9" t="s">
        <v>60</v>
      </c>
      <c r="B78" s="9" t="s">
        <v>524</v>
      </c>
      <c r="C78" s="9" t="s">
        <v>4</v>
      </c>
      <c r="D78" s="9" t="s">
        <v>523</v>
      </c>
      <c r="E78" s="9" t="s">
        <v>74</v>
      </c>
      <c r="F78" s="10" t="s">
        <v>83</v>
      </c>
      <c r="G78" s="10">
        <v>200</v>
      </c>
      <c r="H78" s="10">
        <v>159</v>
      </c>
      <c r="I78" s="102">
        <v>31800</v>
      </c>
      <c r="J78" s="10" t="s">
        <v>84</v>
      </c>
      <c r="K78" s="9" t="s">
        <v>85</v>
      </c>
      <c r="L78" s="9" t="s">
        <v>86</v>
      </c>
      <c r="M78" s="7"/>
    </row>
    <row r="79" spans="1:13" x14ac:dyDescent="0.45">
      <c r="A79" s="9" t="s">
        <v>60</v>
      </c>
      <c r="B79" s="9" t="s">
        <v>524</v>
      </c>
      <c r="C79" s="9" t="s">
        <v>4</v>
      </c>
      <c r="D79" s="9" t="s">
        <v>523</v>
      </c>
      <c r="E79" s="9" t="s">
        <v>74</v>
      </c>
      <c r="F79" s="10" t="s">
        <v>75</v>
      </c>
      <c r="G79" s="10">
        <v>200</v>
      </c>
      <c r="H79" s="10">
        <v>159</v>
      </c>
      <c r="I79" s="102">
        <v>31800</v>
      </c>
      <c r="J79" s="10" t="s">
        <v>519</v>
      </c>
      <c r="K79" s="9" t="s">
        <v>76</v>
      </c>
      <c r="L79" s="9" t="s">
        <v>77</v>
      </c>
      <c r="M79" s="7"/>
    </row>
    <row r="80" spans="1:13" x14ac:dyDescent="0.45">
      <c r="A80" s="9" t="s">
        <v>60</v>
      </c>
      <c r="B80" s="9" t="s">
        <v>525</v>
      </c>
      <c r="C80" s="9" t="s">
        <v>4</v>
      </c>
      <c r="D80" s="9" t="s">
        <v>523</v>
      </c>
      <c r="E80" s="9" t="s">
        <v>74</v>
      </c>
      <c r="F80" s="10" t="s">
        <v>83</v>
      </c>
      <c r="G80" s="10">
        <v>200</v>
      </c>
      <c r="H80" s="10">
        <v>156</v>
      </c>
      <c r="I80" s="102">
        <v>31200</v>
      </c>
      <c r="J80" s="10" t="s">
        <v>84</v>
      </c>
      <c r="K80" s="9" t="s">
        <v>85</v>
      </c>
      <c r="L80" s="9" t="s">
        <v>86</v>
      </c>
      <c r="M80" s="7"/>
    </row>
    <row r="81" spans="1:13" x14ac:dyDescent="0.45">
      <c r="A81" s="9" t="s">
        <v>60</v>
      </c>
      <c r="B81" s="9" t="s">
        <v>525</v>
      </c>
      <c r="C81" s="9" t="s">
        <v>4</v>
      </c>
      <c r="D81" s="9" t="s">
        <v>523</v>
      </c>
      <c r="E81" s="9" t="s">
        <v>74</v>
      </c>
      <c r="F81" s="10" t="s">
        <v>75</v>
      </c>
      <c r="G81" s="10">
        <v>200</v>
      </c>
      <c r="H81" s="10">
        <v>156</v>
      </c>
      <c r="I81" s="102">
        <v>31200</v>
      </c>
      <c r="J81" s="10" t="s">
        <v>519</v>
      </c>
      <c r="K81" s="9" t="s">
        <v>76</v>
      </c>
      <c r="L81" s="9" t="s">
        <v>77</v>
      </c>
      <c r="M81" s="7"/>
    </row>
    <row r="82" spans="1:13" x14ac:dyDescent="0.45">
      <c r="A82" s="9" t="s">
        <v>60</v>
      </c>
      <c r="B82" s="9" t="s">
        <v>526</v>
      </c>
      <c r="C82" s="9" t="s">
        <v>4</v>
      </c>
      <c r="D82" s="9" t="s">
        <v>527</v>
      </c>
      <c r="E82" s="9" t="s">
        <v>74</v>
      </c>
      <c r="F82" s="10" t="s">
        <v>83</v>
      </c>
      <c r="G82" s="10">
        <v>200</v>
      </c>
      <c r="H82" s="10">
        <v>75</v>
      </c>
      <c r="I82" s="102">
        <v>15000</v>
      </c>
      <c r="J82" s="10" t="s">
        <v>84</v>
      </c>
      <c r="K82" s="9" t="s">
        <v>85</v>
      </c>
      <c r="L82" s="9" t="s">
        <v>86</v>
      </c>
      <c r="M82" s="7"/>
    </row>
    <row r="83" spans="1:13" x14ac:dyDescent="0.45">
      <c r="A83" s="9" t="s">
        <v>60</v>
      </c>
      <c r="B83" s="9" t="s">
        <v>526</v>
      </c>
      <c r="C83" s="9" t="s">
        <v>4</v>
      </c>
      <c r="D83" s="9" t="s">
        <v>527</v>
      </c>
      <c r="E83" s="9" t="s">
        <v>74</v>
      </c>
      <c r="F83" s="10" t="s">
        <v>75</v>
      </c>
      <c r="G83" s="10">
        <v>200</v>
      </c>
      <c r="H83" s="10">
        <v>75</v>
      </c>
      <c r="I83" s="102">
        <v>15000</v>
      </c>
      <c r="J83" s="10" t="s">
        <v>519</v>
      </c>
      <c r="K83" s="9" t="s">
        <v>76</v>
      </c>
      <c r="L83" s="9" t="s">
        <v>77</v>
      </c>
      <c r="M83" s="7"/>
    </row>
    <row r="84" spans="1:13" x14ac:dyDescent="0.45">
      <c r="A84" s="9" t="s">
        <v>60</v>
      </c>
      <c r="B84" s="9" t="s">
        <v>529</v>
      </c>
      <c r="C84" s="9" t="s">
        <v>103</v>
      </c>
      <c r="D84" s="9" t="s">
        <v>527</v>
      </c>
      <c r="E84" s="9" t="s">
        <v>74</v>
      </c>
      <c r="F84" s="10" t="s">
        <v>141</v>
      </c>
      <c r="G84" s="10">
        <v>185</v>
      </c>
      <c r="H84" s="10">
        <v>82</v>
      </c>
      <c r="I84" s="102">
        <v>15170</v>
      </c>
      <c r="J84" s="10" t="s">
        <v>142</v>
      </c>
      <c r="K84" s="9" t="s">
        <v>143</v>
      </c>
      <c r="L84" s="9" t="s">
        <v>144</v>
      </c>
      <c r="M84" s="7"/>
    </row>
    <row r="85" spans="1:13" x14ac:dyDescent="0.45">
      <c r="A85" s="9" t="s">
        <v>60</v>
      </c>
      <c r="B85" s="9" t="s">
        <v>524</v>
      </c>
      <c r="C85" s="9" t="s">
        <v>103</v>
      </c>
      <c r="D85" s="9" t="s">
        <v>523</v>
      </c>
      <c r="E85" s="9" t="s">
        <v>74</v>
      </c>
      <c r="F85" s="10" t="s">
        <v>150</v>
      </c>
      <c r="G85" s="10">
        <v>250</v>
      </c>
      <c r="H85" s="10">
        <v>156</v>
      </c>
      <c r="I85" s="102">
        <v>39000</v>
      </c>
      <c r="J85" s="10" t="s">
        <v>151</v>
      </c>
      <c r="K85" s="9" t="s">
        <v>152</v>
      </c>
      <c r="L85" s="9" t="s">
        <v>153</v>
      </c>
      <c r="M85" s="7"/>
    </row>
    <row r="86" spans="1:13" x14ac:dyDescent="0.45">
      <c r="A86" s="9" t="s">
        <v>60</v>
      </c>
      <c r="B86" s="9" t="s">
        <v>524</v>
      </c>
      <c r="C86" s="9" t="s">
        <v>103</v>
      </c>
      <c r="D86" s="9" t="s">
        <v>523</v>
      </c>
      <c r="E86" s="9" t="s">
        <v>74</v>
      </c>
      <c r="F86" s="10" t="s">
        <v>141</v>
      </c>
      <c r="G86" s="10">
        <v>185</v>
      </c>
      <c r="H86" s="10">
        <v>156</v>
      </c>
      <c r="I86" s="102">
        <v>28860</v>
      </c>
      <c r="J86" s="10" t="s">
        <v>142</v>
      </c>
      <c r="K86" s="9" t="s">
        <v>143</v>
      </c>
      <c r="L86" s="9" t="s">
        <v>144</v>
      </c>
      <c r="M86" s="7"/>
    </row>
    <row r="87" spans="1:13" x14ac:dyDescent="0.45">
      <c r="A87" s="9" t="s">
        <v>60</v>
      </c>
      <c r="B87" s="9" t="s">
        <v>525</v>
      </c>
      <c r="C87" s="9" t="s">
        <v>103</v>
      </c>
      <c r="D87" s="9" t="s">
        <v>523</v>
      </c>
      <c r="E87" s="9" t="s">
        <v>74</v>
      </c>
      <c r="F87" s="10" t="s">
        <v>150</v>
      </c>
      <c r="G87" s="10">
        <v>250</v>
      </c>
      <c r="H87" s="10">
        <v>153</v>
      </c>
      <c r="I87" s="102">
        <v>38250</v>
      </c>
      <c r="J87" s="10" t="s">
        <v>151</v>
      </c>
      <c r="K87" s="9" t="s">
        <v>152</v>
      </c>
      <c r="L87" s="9" t="s">
        <v>153</v>
      </c>
      <c r="M87" s="7"/>
    </row>
    <row r="88" spans="1:13" x14ac:dyDescent="0.45">
      <c r="A88" s="9" t="s">
        <v>60</v>
      </c>
      <c r="B88" s="9" t="s">
        <v>525</v>
      </c>
      <c r="C88" s="9" t="s">
        <v>103</v>
      </c>
      <c r="D88" s="9" t="s">
        <v>523</v>
      </c>
      <c r="E88" s="9" t="s">
        <v>74</v>
      </c>
      <c r="F88" s="10" t="s">
        <v>141</v>
      </c>
      <c r="G88" s="10">
        <v>185</v>
      </c>
      <c r="H88" s="10">
        <v>153</v>
      </c>
      <c r="I88" s="102">
        <v>28305</v>
      </c>
      <c r="J88" s="10" t="s">
        <v>142</v>
      </c>
      <c r="K88" s="9" t="s">
        <v>143</v>
      </c>
      <c r="L88" s="9" t="s">
        <v>144</v>
      </c>
      <c r="M88" s="7"/>
    </row>
    <row r="89" spans="1:13" x14ac:dyDescent="0.45">
      <c r="A89" s="9" t="s">
        <v>60</v>
      </c>
      <c r="B89" s="9" t="s">
        <v>526</v>
      </c>
      <c r="C89" s="9" t="s">
        <v>103</v>
      </c>
      <c r="D89" s="9" t="s">
        <v>527</v>
      </c>
      <c r="E89" s="9" t="s">
        <v>74</v>
      </c>
      <c r="F89" s="10" t="s">
        <v>150</v>
      </c>
      <c r="G89" s="10">
        <v>250</v>
      </c>
      <c r="H89" s="10">
        <v>79</v>
      </c>
      <c r="I89" s="102">
        <v>19750</v>
      </c>
      <c r="J89" s="10" t="s">
        <v>151</v>
      </c>
      <c r="K89" s="9" t="s">
        <v>152</v>
      </c>
      <c r="L89" s="9" t="s">
        <v>153</v>
      </c>
      <c r="M89" s="7"/>
    </row>
    <row r="90" spans="1:13" x14ac:dyDescent="0.45">
      <c r="A90" s="9" t="s">
        <v>60</v>
      </c>
      <c r="B90" s="9" t="s">
        <v>526</v>
      </c>
      <c r="C90" s="9" t="s">
        <v>103</v>
      </c>
      <c r="D90" s="9" t="s">
        <v>527</v>
      </c>
      <c r="E90" s="9" t="s">
        <v>74</v>
      </c>
      <c r="F90" s="10" t="s">
        <v>141</v>
      </c>
      <c r="G90" s="10">
        <v>185</v>
      </c>
      <c r="H90" s="10">
        <v>79</v>
      </c>
      <c r="I90" s="102">
        <v>14615</v>
      </c>
      <c r="J90" s="10" t="s">
        <v>142</v>
      </c>
      <c r="K90" s="9" t="s">
        <v>143</v>
      </c>
      <c r="L90" s="9" t="s">
        <v>144</v>
      </c>
      <c r="M90" s="7"/>
    </row>
    <row r="91" spans="1:13" x14ac:dyDescent="0.45">
      <c r="A91" s="9" t="s">
        <v>60</v>
      </c>
      <c r="B91" s="9" t="s">
        <v>528</v>
      </c>
      <c r="C91" s="9" t="s">
        <v>103</v>
      </c>
      <c r="D91" s="9" t="s">
        <v>527</v>
      </c>
      <c r="E91" s="9" t="s">
        <v>74</v>
      </c>
      <c r="F91" s="10" t="s">
        <v>141</v>
      </c>
      <c r="G91" s="10">
        <v>185</v>
      </c>
      <c r="H91" s="10">
        <v>78</v>
      </c>
      <c r="I91" s="102">
        <v>14430</v>
      </c>
      <c r="J91" s="10" t="s">
        <v>142</v>
      </c>
      <c r="K91" s="9" t="s">
        <v>143</v>
      </c>
      <c r="L91" s="9" t="s">
        <v>144</v>
      </c>
      <c r="M91" s="7"/>
    </row>
    <row r="92" spans="1:13" x14ac:dyDescent="0.45">
      <c r="A92" s="9" t="s">
        <v>245</v>
      </c>
      <c r="B92" s="9" t="s">
        <v>531</v>
      </c>
      <c r="C92" s="9" t="s">
        <v>4</v>
      </c>
      <c r="D92" s="9" t="s">
        <v>532</v>
      </c>
      <c r="E92" s="9" t="s">
        <v>74</v>
      </c>
      <c r="F92" s="10" t="s">
        <v>83</v>
      </c>
      <c r="G92" s="10">
        <v>200</v>
      </c>
      <c r="H92" s="10">
        <v>61</v>
      </c>
      <c r="I92" s="102">
        <v>12200</v>
      </c>
      <c r="J92" s="10" t="s">
        <v>84</v>
      </c>
      <c r="K92" s="9" t="s">
        <v>85</v>
      </c>
      <c r="L92" s="9" t="s">
        <v>86</v>
      </c>
      <c r="M92" s="7"/>
    </row>
    <row r="93" spans="1:13" x14ac:dyDescent="0.45">
      <c r="A93" s="9" t="s">
        <v>245</v>
      </c>
      <c r="B93" s="9" t="s">
        <v>533</v>
      </c>
      <c r="C93" s="9" t="s">
        <v>4</v>
      </c>
      <c r="D93" s="9" t="s">
        <v>534</v>
      </c>
      <c r="E93" s="9" t="s">
        <v>74</v>
      </c>
      <c r="F93" s="10" t="s">
        <v>83</v>
      </c>
      <c r="G93" s="10">
        <v>200</v>
      </c>
      <c r="H93" s="10">
        <v>7</v>
      </c>
      <c r="I93" s="102">
        <v>1400</v>
      </c>
      <c r="J93" s="10" t="s">
        <v>84</v>
      </c>
      <c r="K93" s="9" t="s">
        <v>85</v>
      </c>
      <c r="L93" s="9" t="s">
        <v>86</v>
      </c>
      <c r="M93" s="7"/>
    </row>
    <row r="94" spans="1:13" x14ac:dyDescent="0.45">
      <c r="A94" s="9" t="s">
        <v>245</v>
      </c>
      <c r="B94" s="9" t="s">
        <v>535</v>
      </c>
      <c r="C94" s="9" t="s">
        <v>4</v>
      </c>
      <c r="D94" s="9" t="s">
        <v>534</v>
      </c>
      <c r="E94" s="9" t="s">
        <v>74</v>
      </c>
      <c r="F94" s="10" t="s">
        <v>83</v>
      </c>
      <c r="G94" s="10">
        <v>200</v>
      </c>
      <c r="H94" s="10">
        <v>10</v>
      </c>
      <c r="I94" s="102">
        <v>2000</v>
      </c>
      <c r="J94" s="10" t="s">
        <v>84</v>
      </c>
      <c r="K94" s="9" t="s">
        <v>85</v>
      </c>
      <c r="L94" s="9" t="s">
        <v>86</v>
      </c>
      <c r="M94" s="7"/>
    </row>
    <row r="95" spans="1:13" x14ac:dyDescent="0.45">
      <c r="A95" s="9" t="s">
        <v>60</v>
      </c>
      <c r="B95" s="9" t="s">
        <v>522</v>
      </c>
      <c r="C95" s="9" t="s">
        <v>4</v>
      </c>
      <c r="D95" s="9" t="s">
        <v>523</v>
      </c>
      <c r="E95" s="9" t="s">
        <v>27</v>
      </c>
      <c r="F95" s="10" t="s">
        <v>28</v>
      </c>
      <c r="G95" s="10">
        <v>185</v>
      </c>
      <c r="H95" s="10">
        <v>154</v>
      </c>
      <c r="I95" s="102">
        <v>28490</v>
      </c>
      <c r="J95" s="10" t="s">
        <v>29</v>
      </c>
      <c r="K95" s="9" t="s">
        <v>30</v>
      </c>
      <c r="L95" s="9" t="s">
        <v>31</v>
      </c>
      <c r="M95" s="7"/>
    </row>
    <row r="96" spans="1:13" x14ac:dyDescent="0.45">
      <c r="A96" s="9" t="s">
        <v>60</v>
      </c>
      <c r="B96" s="9" t="s">
        <v>522</v>
      </c>
      <c r="C96" s="9" t="s">
        <v>103</v>
      </c>
      <c r="D96" s="9" t="s">
        <v>523</v>
      </c>
      <c r="E96" s="9" t="s">
        <v>27</v>
      </c>
      <c r="F96" s="10" t="s">
        <v>125</v>
      </c>
      <c r="G96" s="10">
        <v>231</v>
      </c>
      <c r="H96" s="10">
        <v>164</v>
      </c>
      <c r="I96" s="102">
        <v>37884</v>
      </c>
      <c r="J96" s="10" t="s">
        <v>29</v>
      </c>
      <c r="K96" s="9" t="s">
        <v>126</v>
      </c>
      <c r="L96" s="9" t="s">
        <v>127</v>
      </c>
      <c r="M96" s="7"/>
    </row>
    <row r="97" spans="1:13" x14ac:dyDescent="0.45">
      <c r="A97" s="9" t="s">
        <v>60</v>
      </c>
      <c r="B97" s="9" t="s">
        <v>522</v>
      </c>
      <c r="C97" s="9" t="s">
        <v>103</v>
      </c>
      <c r="D97" s="9" t="s">
        <v>530</v>
      </c>
      <c r="E97" s="9" t="s">
        <v>27</v>
      </c>
      <c r="F97" s="10" t="s">
        <v>133</v>
      </c>
      <c r="G97" s="10">
        <v>209</v>
      </c>
      <c r="H97" s="10">
        <v>104</v>
      </c>
      <c r="I97" s="102">
        <v>21736</v>
      </c>
      <c r="J97" s="10" t="s">
        <v>134</v>
      </c>
      <c r="K97" s="9" t="s">
        <v>135</v>
      </c>
      <c r="L97" s="9" t="s">
        <v>136</v>
      </c>
      <c r="M97" s="7"/>
    </row>
    <row r="98" spans="1:13" x14ac:dyDescent="0.45">
      <c r="A98" s="9" t="s">
        <v>60</v>
      </c>
      <c r="B98" s="9" t="s">
        <v>529</v>
      </c>
      <c r="C98" s="9" t="s">
        <v>103</v>
      </c>
      <c r="D98" s="9" t="s">
        <v>527</v>
      </c>
      <c r="E98" s="9" t="s">
        <v>128</v>
      </c>
      <c r="F98" s="10" t="s">
        <v>157</v>
      </c>
      <c r="G98" s="10">
        <v>140</v>
      </c>
      <c r="H98" s="10">
        <v>82</v>
      </c>
      <c r="I98" s="102">
        <v>11480</v>
      </c>
      <c r="J98" s="10" t="s">
        <v>158</v>
      </c>
      <c r="K98" s="9" t="s">
        <v>159</v>
      </c>
      <c r="L98" s="9" t="s">
        <v>160</v>
      </c>
      <c r="M98" s="7"/>
    </row>
    <row r="99" spans="1:13" x14ac:dyDescent="0.45">
      <c r="A99" s="9" t="s">
        <v>60</v>
      </c>
      <c r="B99" s="9" t="s">
        <v>524</v>
      </c>
      <c r="C99" s="9" t="s">
        <v>103</v>
      </c>
      <c r="D99" s="9" t="s">
        <v>523</v>
      </c>
      <c r="E99" s="9" t="s">
        <v>128</v>
      </c>
      <c r="F99" s="10" t="s">
        <v>157</v>
      </c>
      <c r="G99" s="10">
        <v>140</v>
      </c>
      <c r="H99" s="10">
        <v>156</v>
      </c>
      <c r="I99" s="102">
        <v>21840</v>
      </c>
      <c r="J99" s="10" t="s">
        <v>158</v>
      </c>
      <c r="K99" s="9" t="s">
        <v>159</v>
      </c>
      <c r="L99" s="9" t="s">
        <v>160</v>
      </c>
      <c r="M99" s="7"/>
    </row>
    <row r="100" spans="1:13" x14ac:dyDescent="0.45">
      <c r="A100" s="9" t="s">
        <v>60</v>
      </c>
      <c r="B100" s="9" t="s">
        <v>525</v>
      </c>
      <c r="C100" s="9" t="s">
        <v>103</v>
      </c>
      <c r="D100" s="9" t="s">
        <v>523</v>
      </c>
      <c r="E100" s="9" t="s">
        <v>128</v>
      </c>
      <c r="F100" s="10" t="s">
        <v>157</v>
      </c>
      <c r="G100" s="10">
        <v>140</v>
      </c>
      <c r="H100" s="10">
        <v>153</v>
      </c>
      <c r="I100" s="102">
        <v>21420</v>
      </c>
      <c r="J100" s="10" t="s">
        <v>158</v>
      </c>
      <c r="K100" s="9" t="s">
        <v>159</v>
      </c>
      <c r="L100" s="9" t="s">
        <v>160</v>
      </c>
      <c r="M100" s="7"/>
    </row>
    <row r="101" spans="1:13" x14ac:dyDescent="0.45">
      <c r="A101" s="9" t="s">
        <v>60</v>
      </c>
      <c r="B101" s="9" t="s">
        <v>526</v>
      </c>
      <c r="C101" s="9" t="s">
        <v>103</v>
      </c>
      <c r="D101" s="9" t="s">
        <v>527</v>
      </c>
      <c r="E101" s="9" t="s">
        <v>128</v>
      </c>
      <c r="F101" s="10" t="s">
        <v>157</v>
      </c>
      <c r="G101" s="10">
        <v>140</v>
      </c>
      <c r="H101" s="10">
        <v>79</v>
      </c>
      <c r="I101" s="102">
        <v>11060</v>
      </c>
      <c r="J101" s="10" t="s">
        <v>158</v>
      </c>
      <c r="K101" s="9" t="s">
        <v>159</v>
      </c>
      <c r="L101" s="9" t="s">
        <v>160</v>
      </c>
      <c r="M101" s="7"/>
    </row>
    <row r="102" spans="1:13" x14ac:dyDescent="0.45">
      <c r="A102" s="9" t="s">
        <v>60</v>
      </c>
      <c r="B102" s="9" t="s">
        <v>522</v>
      </c>
      <c r="C102" s="9" t="s">
        <v>103</v>
      </c>
      <c r="D102" s="9" t="s">
        <v>530</v>
      </c>
      <c r="E102" s="9" t="s">
        <v>128</v>
      </c>
      <c r="F102" s="10" t="s">
        <v>129</v>
      </c>
      <c r="G102" s="10">
        <v>125</v>
      </c>
      <c r="H102" s="10">
        <v>104</v>
      </c>
      <c r="I102" s="102">
        <v>13000</v>
      </c>
      <c r="J102" s="10" t="s">
        <v>130</v>
      </c>
      <c r="K102" s="9" t="s">
        <v>131</v>
      </c>
      <c r="L102" s="9" t="s">
        <v>132</v>
      </c>
      <c r="M102" s="7"/>
    </row>
    <row r="103" spans="1:13" x14ac:dyDescent="0.45">
      <c r="A103" s="9" t="s">
        <v>60</v>
      </c>
      <c r="B103" s="9" t="s">
        <v>522</v>
      </c>
      <c r="C103" s="9" t="s">
        <v>103</v>
      </c>
      <c r="D103" s="9" t="s">
        <v>523</v>
      </c>
      <c r="E103" s="9" t="s">
        <v>128</v>
      </c>
      <c r="F103" s="10" t="s">
        <v>157</v>
      </c>
      <c r="G103" s="10">
        <v>140</v>
      </c>
      <c r="H103" s="10">
        <v>164</v>
      </c>
      <c r="I103" s="102">
        <v>22960</v>
      </c>
      <c r="J103" s="10" t="s">
        <v>158</v>
      </c>
      <c r="K103" s="9" t="s">
        <v>159</v>
      </c>
      <c r="L103" s="9" t="s">
        <v>160</v>
      </c>
      <c r="M103" s="7"/>
    </row>
    <row r="104" spans="1:13" x14ac:dyDescent="0.45">
      <c r="A104" s="9" t="s">
        <v>60</v>
      </c>
      <c r="B104" s="9" t="s">
        <v>528</v>
      </c>
      <c r="C104" s="9" t="s">
        <v>103</v>
      </c>
      <c r="D104" s="9" t="s">
        <v>527</v>
      </c>
      <c r="E104" s="9" t="s">
        <v>128</v>
      </c>
      <c r="F104" s="10" t="s">
        <v>157</v>
      </c>
      <c r="G104" s="10">
        <v>140</v>
      </c>
      <c r="H104" s="10">
        <v>78</v>
      </c>
      <c r="I104" s="102">
        <v>10920</v>
      </c>
      <c r="J104" s="10" t="s">
        <v>158</v>
      </c>
      <c r="K104" s="9" t="s">
        <v>159</v>
      </c>
      <c r="L104" s="9" t="s">
        <v>160</v>
      </c>
      <c r="M104" s="7"/>
    </row>
    <row r="105" spans="1:13" x14ac:dyDescent="0.45">
      <c r="A105" s="9" t="s">
        <v>60</v>
      </c>
      <c r="B105" s="9" t="s">
        <v>522</v>
      </c>
      <c r="C105" s="9" t="s">
        <v>164</v>
      </c>
      <c r="D105" s="9" t="s">
        <v>530</v>
      </c>
      <c r="E105" s="9" t="s">
        <v>128</v>
      </c>
      <c r="F105" s="10" t="s">
        <v>189</v>
      </c>
      <c r="G105" s="10">
        <v>125</v>
      </c>
      <c r="H105" s="10">
        <v>79</v>
      </c>
      <c r="I105" s="102">
        <v>9875</v>
      </c>
      <c r="J105" s="10" t="s">
        <v>130</v>
      </c>
      <c r="K105" s="9" t="s">
        <v>190</v>
      </c>
      <c r="L105" s="9" t="s">
        <v>191</v>
      </c>
      <c r="M105" s="7"/>
    </row>
    <row r="106" spans="1:13" x14ac:dyDescent="0.45">
      <c r="A106" s="9" t="s">
        <v>60</v>
      </c>
      <c r="B106" s="9" t="s">
        <v>524</v>
      </c>
      <c r="C106" s="9" t="s">
        <v>4</v>
      </c>
      <c r="D106" s="9" t="s">
        <v>523</v>
      </c>
      <c r="E106" s="9" t="s">
        <v>78</v>
      </c>
      <c r="F106" s="10" t="s">
        <v>79</v>
      </c>
      <c r="G106" s="10">
        <v>230</v>
      </c>
      <c r="H106" s="10">
        <v>159</v>
      </c>
      <c r="I106" s="102">
        <v>36570</v>
      </c>
      <c r="J106" s="10" t="s">
        <v>80</v>
      </c>
      <c r="K106" s="9" t="s">
        <v>81</v>
      </c>
      <c r="L106" s="9" t="s">
        <v>82</v>
      </c>
      <c r="M106" s="7"/>
    </row>
    <row r="107" spans="1:13" x14ac:dyDescent="0.45">
      <c r="A107" s="9" t="s">
        <v>60</v>
      </c>
      <c r="B107" s="9" t="s">
        <v>525</v>
      </c>
      <c r="C107" s="9" t="s">
        <v>4</v>
      </c>
      <c r="D107" s="9" t="s">
        <v>523</v>
      </c>
      <c r="E107" s="9" t="s">
        <v>78</v>
      </c>
      <c r="F107" s="10" t="s">
        <v>79</v>
      </c>
      <c r="G107" s="10">
        <v>230</v>
      </c>
      <c r="H107" s="10">
        <v>156</v>
      </c>
      <c r="I107" s="102">
        <v>35880</v>
      </c>
      <c r="J107" s="10" t="s">
        <v>80</v>
      </c>
      <c r="K107" s="9" t="s">
        <v>81</v>
      </c>
      <c r="L107" s="9" t="s">
        <v>82</v>
      </c>
      <c r="M107" s="7"/>
    </row>
    <row r="108" spans="1:13" x14ac:dyDescent="0.45">
      <c r="A108" s="9" t="s">
        <v>60</v>
      </c>
      <c r="B108" s="9" t="s">
        <v>526</v>
      </c>
      <c r="C108" s="9" t="s">
        <v>4</v>
      </c>
      <c r="D108" s="9" t="s">
        <v>527</v>
      </c>
      <c r="E108" s="9" t="s">
        <v>78</v>
      </c>
      <c r="F108" s="10" t="s">
        <v>79</v>
      </c>
      <c r="G108" s="10">
        <v>230</v>
      </c>
      <c r="H108" s="10">
        <v>75</v>
      </c>
      <c r="I108" s="102">
        <v>17250</v>
      </c>
      <c r="J108" s="10" t="s">
        <v>80</v>
      </c>
      <c r="K108" s="9" t="s">
        <v>81</v>
      </c>
      <c r="L108" s="9" t="s">
        <v>82</v>
      </c>
      <c r="M108" s="7"/>
    </row>
    <row r="109" spans="1:13" x14ac:dyDescent="0.45">
      <c r="A109" s="9" t="s">
        <v>60</v>
      </c>
      <c r="B109" s="9" t="s">
        <v>524</v>
      </c>
      <c r="C109" s="9" t="s">
        <v>103</v>
      </c>
      <c r="D109" s="9" t="s">
        <v>523</v>
      </c>
      <c r="E109" s="9" t="s">
        <v>78</v>
      </c>
      <c r="F109" s="10" t="s">
        <v>145</v>
      </c>
      <c r="G109" s="10">
        <v>230</v>
      </c>
      <c r="H109" s="10">
        <v>156</v>
      </c>
      <c r="I109" s="102">
        <v>35880</v>
      </c>
      <c r="J109" s="10" t="s">
        <v>146</v>
      </c>
      <c r="K109" s="9" t="s">
        <v>90</v>
      </c>
      <c r="L109" s="9"/>
      <c r="M109" s="7"/>
    </row>
    <row r="110" spans="1:13" x14ac:dyDescent="0.45">
      <c r="A110" s="9" t="s">
        <v>60</v>
      </c>
      <c r="B110" s="9" t="s">
        <v>524</v>
      </c>
      <c r="C110" s="9" t="s">
        <v>103</v>
      </c>
      <c r="D110" s="9" t="s">
        <v>523</v>
      </c>
      <c r="E110" s="9" t="s">
        <v>78</v>
      </c>
      <c r="F110" s="10" t="s">
        <v>147</v>
      </c>
      <c r="G110" s="10">
        <v>335</v>
      </c>
      <c r="H110" s="10">
        <v>156</v>
      </c>
      <c r="I110" s="102">
        <v>52260</v>
      </c>
      <c r="J110" s="10" t="s">
        <v>148</v>
      </c>
      <c r="K110" s="9" t="s">
        <v>149</v>
      </c>
      <c r="L110" s="9"/>
      <c r="M110" s="7"/>
    </row>
    <row r="111" spans="1:13" x14ac:dyDescent="0.45">
      <c r="A111" s="9" t="s">
        <v>60</v>
      </c>
      <c r="B111" s="9" t="s">
        <v>525</v>
      </c>
      <c r="C111" s="9" t="s">
        <v>103</v>
      </c>
      <c r="D111" s="9" t="s">
        <v>523</v>
      </c>
      <c r="E111" s="9" t="s">
        <v>78</v>
      </c>
      <c r="F111" s="10" t="s">
        <v>147</v>
      </c>
      <c r="G111" s="10">
        <v>335</v>
      </c>
      <c r="H111" s="10">
        <v>153</v>
      </c>
      <c r="I111" s="102">
        <v>51255</v>
      </c>
      <c r="J111" s="10" t="s">
        <v>148</v>
      </c>
      <c r="K111" s="9" t="s">
        <v>149</v>
      </c>
      <c r="L111" s="9"/>
      <c r="M111" s="7"/>
    </row>
    <row r="112" spans="1:13" x14ac:dyDescent="0.45">
      <c r="A112" s="9" t="s">
        <v>245</v>
      </c>
      <c r="B112" s="9" t="s">
        <v>531</v>
      </c>
      <c r="C112" s="9" t="s">
        <v>4</v>
      </c>
      <c r="D112" s="9" t="s">
        <v>532</v>
      </c>
      <c r="E112" s="9" t="s">
        <v>78</v>
      </c>
      <c r="F112" s="10" t="s">
        <v>75</v>
      </c>
      <c r="G112" s="10">
        <v>230</v>
      </c>
      <c r="H112" s="10">
        <v>61</v>
      </c>
      <c r="I112" s="102">
        <v>14030</v>
      </c>
      <c r="J112" s="10" t="s">
        <v>207</v>
      </c>
      <c r="K112" s="9" t="s">
        <v>208</v>
      </c>
      <c r="L112" s="9" t="s">
        <v>209</v>
      </c>
      <c r="M112" s="7"/>
    </row>
    <row r="113" spans="1:13" x14ac:dyDescent="0.45">
      <c r="A113" s="9" t="s">
        <v>245</v>
      </c>
      <c r="B113" s="9" t="s">
        <v>533</v>
      </c>
      <c r="C113" s="9" t="s">
        <v>4</v>
      </c>
      <c r="D113" s="9" t="s">
        <v>534</v>
      </c>
      <c r="E113" s="9" t="s">
        <v>78</v>
      </c>
      <c r="F113" s="10" t="s">
        <v>75</v>
      </c>
      <c r="G113" s="10">
        <v>230</v>
      </c>
      <c r="H113" s="10">
        <v>7</v>
      </c>
      <c r="I113" s="102">
        <v>1610</v>
      </c>
      <c r="J113" s="10" t="s">
        <v>207</v>
      </c>
      <c r="K113" s="9" t="s">
        <v>208</v>
      </c>
      <c r="L113" s="9" t="s">
        <v>209</v>
      </c>
      <c r="M113" s="7"/>
    </row>
    <row r="114" spans="1:13" x14ac:dyDescent="0.45">
      <c r="A114" s="9" t="s">
        <v>245</v>
      </c>
      <c r="B114" s="9" t="s">
        <v>535</v>
      </c>
      <c r="C114" s="9" t="s">
        <v>4</v>
      </c>
      <c r="D114" s="9" t="s">
        <v>534</v>
      </c>
      <c r="E114" s="9" t="s">
        <v>78</v>
      </c>
      <c r="F114" s="10" t="s">
        <v>75</v>
      </c>
      <c r="G114" s="10">
        <v>230</v>
      </c>
      <c r="H114" s="10">
        <v>10</v>
      </c>
      <c r="I114" s="102">
        <v>2300</v>
      </c>
      <c r="J114" s="10" t="s">
        <v>207</v>
      </c>
      <c r="K114" s="9" t="s">
        <v>208</v>
      </c>
      <c r="L114" s="9" t="s">
        <v>209</v>
      </c>
      <c r="M114" s="7"/>
    </row>
    <row r="115" spans="1:13" x14ac:dyDescent="0.45">
      <c r="A115" s="9" t="s">
        <v>245</v>
      </c>
      <c r="B115" s="9" t="s">
        <v>531</v>
      </c>
      <c r="C115" s="9" t="s">
        <v>103</v>
      </c>
      <c r="D115" s="9" t="s">
        <v>523</v>
      </c>
      <c r="E115" s="9" t="s">
        <v>78</v>
      </c>
      <c r="F115" s="10" t="s">
        <v>228</v>
      </c>
      <c r="G115" s="10">
        <v>230</v>
      </c>
      <c r="H115" s="10">
        <v>66</v>
      </c>
      <c r="I115" s="102">
        <v>15180</v>
      </c>
      <c r="J115" s="10" t="s">
        <v>229</v>
      </c>
      <c r="K115" s="9" t="s">
        <v>230</v>
      </c>
      <c r="L115" s="9" t="s">
        <v>231</v>
      </c>
      <c r="M115" s="7"/>
    </row>
    <row r="116" spans="1:13" x14ac:dyDescent="0.45">
      <c r="A116" s="9" t="s">
        <v>245</v>
      </c>
      <c r="B116" s="9" t="s">
        <v>533</v>
      </c>
      <c r="C116" s="9" t="s">
        <v>103</v>
      </c>
      <c r="D116" s="9" t="s">
        <v>534</v>
      </c>
      <c r="E116" s="9" t="s">
        <v>78</v>
      </c>
      <c r="F116" s="10" t="s">
        <v>228</v>
      </c>
      <c r="G116" s="10">
        <v>230</v>
      </c>
      <c r="H116" s="10">
        <v>20</v>
      </c>
      <c r="I116" s="102">
        <v>4600</v>
      </c>
      <c r="J116" s="10" t="s">
        <v>229</v>
      </c>
      <c r="K116" s="9" t="s">
        <v>230</v>
      </c>
      <c r="L116" s="9" t="s">
        <v>231</v>
      </c>
      <c r="M116" s="7"/>
    </row>
    <row r="117" spans="1:13" x14ac:dyDescent="0.45">
      <c r="A117" s="9" t="s">
        <v>245</v>
      </c>
      <c r="B117" s="9" t="s">
        <v>535</v>
      </c>
      <c r="C117" s="9" t="s">
        <v>103</v>
      </c>
      <c r="D117" s="9" t="s">
        <v>534</v>
      </c>
      <c r="E117" s="9" t="s">
        <v>78</v>
      </c>
      <c r="F117" s="10" t="s">
        <v>228</v>
      </c>
      <c r="G117" s="10">
        <v>230</v>
      </c>
      <c r="H117" s="10">
        <v>10</v>
      </c>
      <c r="I117" s="102">
        <v>2300</v>
      </c>
      <c r="J117" s="10" t="s">
        <v>229</v>
      </c>
      <c r="K117" s="9" t="s">
        <v>230</v>
      </c>
      <c r="L117" s="9" t="s">
        <v>231</v>
      </c>
      <c r="M117" s="7"/>
    </row>
    <row r="118" spans="1:13" x14ac:dyDescent="0.45">
      <c r="A118" s="9" t="s">
        <v>60</v>
      </c>
      <c r="B118" s="9" t="s">
        <v>529</v>
      </c>
      <c r="C118" s="9" t="s">
        <v>164</v>
      </c>
      <c r="D118" s="9" t="s">
        <v>527</v>
      </c>
      <c r="E118" s="9" t="s">
        <v>196</v>
      </c>
      <c r="F118" s="10" t="s">
        <v>197</v>
      </c>
      <c r="G118" s="10">
        <v>145</v>
      </c>
      <c r="H118" s="10">
        <v>76</v>
      </c>
      <c r="I118" s="102">
        <v>11020</v>
      </c>
      <c r="J118" s="10" t="s">
        <v>198</v>
      </c>
      <c r="K118" s="9" t="s">
        <v>90</v>
      </c>
      <c r="L118" s="9"/>
      <c r="M118" s="7"/>
    </row>
    <row r="119" spans="1:13" x14ac:dyDescent="0.45">
      <c r="A119" s="9" t="s">
        <v>60</v>
      </c>
      <c r="B119" s="9" t="s">
        <v>524</v>
      </c>
      <c r="C119" s="9" t="s">
        <v>164</v>
      </c>
      <c r="D119" s="9" t="s">
        <v>523</v>
      </c>
      <c r="E119" s="9" t="s">
        <v>196</v>
      </c>
      <c r="F119" s="10" t="s">
        <v>197</v>
      </c>
      <c r="G119" s="10">
        <v>145</v>
      </c>
      <c r="H119" s="10">
        <v>144</v>
      </c>
      <c r="I119" s="102">
        <v>20880</v>
      </c>
      <c r="J119" s="10" t="s">
        <v>198</v>
      </c>
      <c r="K119" s="9" t="s">
        <v>90</v>
      </c>
      <c r="L119" s="9"/>
      <c r="M119" s="7"/>
    </row>
    <row r="120" spans="1:13" x14ac:dyDescent="0.45">
      <c r="A120" s="9" t="s">
        <v>60</v>
      </c>
      <c r="B120" s="9" t="s">
        <v>525</v>
      </c>
      <c r="C120" s="9" t="s">
        <v>164</v>
      </c>
      <c r="D120" s="9" t="s">
        <v>523</v>
      </c>
      <c r="E120" s="9" t="s">
        <v>196</v>
      </c>
      <c r="F120" s="10" t="s">
        <v>197</v>
      </c>
      <c r="G120" s="10">
        <v>145</v>
      </c>
      <c r="H120" s="10">
        <v>140</v>
      </c>
      <c r="I120" s="102">
        <v>20300</v>
      </c>
      <c r="J120" s="10" t="s">
        <v>198</v>
      </c>
      <c r="K120" s="9" t="s">
        <v>90</v>
      </c>
      <c r="L120" s="9"/>
      <c r="M120" s="7"/>
    </row>
    <row r="121" spans="1:13" x14ac:dyDescent="0.45">
      <c r="A121" s="9" t="s">
        <v>60</v>
      </c>
      <c r="B121" s="9" t="s">
        <v>526</v>
      </c>
      <c r="C121" s="9" t="s">
        <v>164</v>
      </c>
      <c r="D121" s="9" t="s">
        <v>527</v>
      </c>
      <c r="E121" s="9" t="s">
        <v>196</v>
      </c>
      <c r="F121" s="10" t="s">
        <v>197</v>
      </c>
      <c r="G121" s="10">
        <v>145</v>
      </c>
      <c r="H121" s="10">
        <v>68</v>
      </c>
      <c r="I121" s="102">
        <v>9860</v>
      </c>
      <c r="J121" s="10" t="s">
        <v>198</v>
      </c>
      <c r="K121" s="9" t="s">
        <v>90</v>
      </c>
      <c r="L121" s="9"/>
      <c r="M121" s="7"/>
    </row>
    <row r="122" spans="1:13" x14ac:dyDescent="0.45">
      <c r="A122" s="9" t="s">
        <v>60</v>
      </c>
      <c r="B122" s="9" t="s">
        <v>522</v>
      </c>
      <c r="C122" s="9" t="s">
        <v>164</v>
      </c>
      <c r="D122" s="9" t="s">
        <v>523</v>
      </c>
      <c r="E122" s="9" t="s">
        <v>196</v>
      </c>
      <c r="F122" s="10" t="s">
        <v>197</v>
      </c>
      <c r="G122" s="10">
        <v>145</v>
      </c>
      <c r="H122" s="10">
        <v>141</v>
      </c>
      <c r="I122" s="102">
        <v>20445</v>
      </c>
      <c r="J122" s="10" t="s">
        <v>198</v>
      </c>
      <c r="K122" s="9" t="s">
        <v>90</v>
      </c>
      <c r="L122" s="9"/>
      <c r="M122" s="7"/>
    </row>
    <row r="123" spans="1:13" x14ac:dyDescent="0.45">
      <c r="A123" s="9" t="s">
        <v>60</v>
      </c>
      <c r="B123" s="9" t="s">
        <v>528</v>
      </c>
      <c r="C123" s="9" t="s">
        <v>164</v>
      </c>
      <c r="D123" s="9" t="s">
        <v>527</v>
      </c>
      <c r="E123" s="9" t="s">
        <v>196</v>
      </c>
      <c r="F123" s="10" t="s">
        <v>197</v>
      </c>
      <c r="G123" s="10">
        <v>145</v>
      </c>
      <c r="H123" s="10">
        <v>71</v>
      </c>
      <c r="I123" s="102">
        <v>10295</v>
      </c>
      <c r="J123" s="10" t="s">
        <v>198</v>
      </c>
      <c r="K123" s="9" t="s">
        <v>90</v>
      </c>
      <c r="L123" s="9"/>
      <c r="M123" s="7"/>
    </row>
    <row r="124" spans="1:13" x14ac:dyDescent="0.45">
      <c r="A124" s="9" t="s">
        <v>245</v>
      </c>
      <c r="B124" s="9" t="s">
        <v>531</v>
      </c>
      <c r="C124" s="9" t="s">
        <v>164</v>
      </c>
      <c r="D124" s="9" t="s">
        <v>532</v>
      </c>
      <c r="E124" s="9" t="s">
        <v>196</v>
      </c>
      <c r="F124" s="10" t="s">
        <v>197</v>
      </c>
      <c r="G124" s="10">
        <v>145</v>
      </c>
      <c r="H124" s="10">
        <v>83</v>
      </c>
      <c r="I124" s="102">
        <v>12035</v>
      </c>
      <c r="J124" s="10" t="s">
        <v>198</v>
      </c>
      <c r="K124" s="9" t="s">
        <v>90</v>
      </c>
      <c r="L124" s="9"/>
      <c r="M124" s="7"/>
    </row>
    <row r="125" spans="1:13" x14ac:dyDescent="0.45">
      <c r="A125" s="9" t="s">
        <v>245</v>
      </c>
      <c r="B125" s="9" t="s">
        <v>533</v>
      </c>
      <c r="C125" s="9" t="s">
        <v>164</v>
      </c>
      <c r="D125" s="9" t="s">
        <v>534</v>
      </c>
      <c r="E125" s="9" t="s">
        <v>196</v>
      </c>
      <c r="F125" s="10" t="s">
        <v>197</v>
      </c>
      <c r="G125" s="10">
        <v>145</v>
      </c>
      <c r="H125" s="10">
        <v>27</v>
      </c>
      <c r="I125" s="102">
        <v>3915</v>
      </c>
      <c r="J125" s="10" t="s">
        <v>198</v>
      </c>
      <c r="K125" s="9" t="s">
        <v>90</v>
      </c>
      <c r="L125" s="9"/>
      <c r="M125" s="7"/>
    </row>
    <row r="126" spans="1:13" x14ac:dyDescent="0.45">
      <c r="A126" s="9" t="s">
        <v>60</v>
      </c>
      <c r="B126" s="9" t="s">
        <v>529</v>
      </c>
      <c r="C126" s="9" t="s">
        <v>4</v>
      </c>
      <c r="D126" s="9" t="s">
        <v>527</v>
      </c>
      <c r="E126" s="9" t="s">
        <v>41</v>
      </c>
      <c r="F126" s="10" t="s">
        <v>42</v>
      </c>
      <c r="G126" s="10">
        <v>141</v>
      </c>
      <c r="H126" s="10">
        <v>78</v>
      </c>
      <c r="I126" s="102">
        <v>10998</v>
      </c>
      <c r="J126" s="10" t="s">
        <v>43</v>
      </c>
      <c r="K126" s="9" t="s">
        <v>44</v>
      </c>
      <c r="L126" s="9" t="s">
        <v>45</v>
      </c>
      <c r="M126" s="7"/>
    </row>
    <row r="127" spans="1:13" x14ac:dyDescent="0.45">
      <c r="A127" s="9" t="s">
        <v>60</v>
      </c>
      <c r="B127" s="9" t="s">
        <v>524</v>
      </c>
      <c r="C127" s="9" t="s">
        <v>4</v>
      </c>
      <c r="D127" s="9" t="s">
        <v>523</v>
      </c>
      <c r="E127" s="9" t="s">
        <v>41</v>
      </c>
      <c r="F127" s="10" t="s">
        <v>42</v>
      </c>
      <c r="G127" s="10">
        <v>141</v>
      </c>
      <c r="H127" s="10">
        <v>159</v>
      </c>
      <c r="I127" s="102">
        <v>22419</v>
      </c>
      <c r="J127" s="10" t="s">
        <v>43</v>
      </c>
      <c r="K127" s="9" t="s">
        <v>44</v>
      </c>
      <c r="L127" s="9" t="s">
        <v>45</v>
      </c>
      <c r="M127" s="7"/>
    </row>
    <row r="128" spans="1:13" x14ac:dyDescent="0.45">
      <c r="A128" s="9" t="s">
        <v>60</v>
      </c>
      <c r="B128" s="9" t="s">
        <v>525</v>
      </c>
      <c r="C128" s="9" t="s">
        <v>4</v>
      </c>
      <c r="D128" s="9" t="s">
        <v>523</v>
      </c>
      <c r="E128" s="9" t="s">
        <v>41</v>
      </c>
      <c r="F128" s="10" t="s">
        <v>42</v>
      </c>
      <c r="G128" s="10">
        <v>141</v>
      </c>
      <c r="H128" s="10">
        <v>156</v>
      </c>
      <c r="I128" s="102">
        <v>21996</v>
      </c>
      <c r="J128" s="10" t="s">
        <v>43</v>
      </c>
      <c r="K128" s="9" t="s">
        <v>44</v>
      </c>
      <c r="L128" s="9" t="s">
        <v>45</v>
      </c>
      <c r="M128" s="7"/>
    </row>
    <row r="129" spans="1:13" x14ac:dyDescent="0.45">
      <c r="A129" s="9" t="s">
        <v>60</v>
      </c>
      <c r="B129" s="9" t="s">
        <v>526</v>
      </c>
      <c r="C129" s="9" t="s">
        <v>4</v>
      </c>
      <c r="D129" s="9" t="s">
        <v>527</v>
      </c>
      <c r="E129" s="9" t="s">
        <v>41</v>
      </c>
      <c r="F129" s="10" t="s">
        <v>42</v>
      </c>
      <c r="G129" s="10">
        <v>141</v>
      </c>
      <c r="H129" s="10">
        <v>75</v>
      </c>
      <c r="I129" s="102">
        <v>10575</v>
      </c>
      <c r="J129" s="10" t="s">
        <v>43</v>
      </c>
      <c r="K129" s="9" t="s">
        <v>44</v>
      </c>
      <c r="L129" s="9" t="s">
        <v>45</v>
      </c>
      <c r="M129" s="7"/>
    </row>
    <row r="130" spans="1:13" x14ac:dyDescent="0.45">
      <c r="A130" s="9" t="s">
        <v>60</v>
      </c>
      <c r="B130" s="9" t="s">
        <v>522</v>
      </c>
      <c r="C130" s="9" t="s">
        <v>4</v>
      </c>
      <c r="D130" s="9" t="s">
        <v>523</v>
      </c>
      <c r="E130" s="9" t="s">
        <v>41</v>
      </c>
      <c r="F130" s="10" t="s">
        <v>42</v>
      </c>
      <c r="G130" s="10">
        <v>141</v>
      </c>
      <c r="H130" s="10">
        <v>154</v>
      </c>
      <c r="I130" s="102">
        <v>21714</v>
      </c>
      <c r="J130" s="10" t="s">
        <v>43</v>
      </c>
      <c r="K130" s="9" t="s">
        <v>44</v>
      </c>
      <c r="L130" s="9" t="s">
        <v>45</v>
      </c>
      <c r="M130" s="7"/>
    </row>
    <row r="131" spans="1:13" x14ac:dyDescent="0.45">
      <c r="A131" s="9" t="s">
        <v>60</v>
      </c>
      <c r="B131" s="9" t="s">
        <v>528</v>
      </c>
      <c r="C131" s="9" t="s">
        <v>4</v>
      </c>
      <c r="D131" s="9" t="s">
        <v>527</v>
      </c>
      <c r="E131" s="9" t="s">
        <v>41</v>
      </c>
      <c r="F131" s="10" t="s">
        <v>42</v>
      </c>
      <c r="G131" s="10">
        <v>141</v>
      </c>
      <c r="H131" s="10">
        <v>77</v>
      </c>
      <c r="I131" s="102">
        <v>10857</v>
      </c>
      <c r="J131" s="10" t="s">
        <v>43</v>
      </c>
      <c r="K131" s="9" t="s">
        <v>44</v>
      </c>
      <c r="L131" s="9" t="s">
        <v>45</v>
      </c>
      <c r="M131" s="7"/>
    </row>
    <row r="132" spans="1:13" x14ac:dyDescent="0.45">
      <c r="A132" s="9" t="s">
        <v>60</v>
      </c>
      <c r="B132" s="9" t="s">
        <v>529</v>
      </c>
      <c r="C132" s="9" t="s">
        <v>4</v>
      </c>
      <c r="D132" s="9" t="s">
        <v>527</v>
      </c>
      <c r="E132" s="9" t="s">
        <v>93</v>
      </c>
      <c r="F132" s="10" t="s">
        <v>94</v>
      </c>
      <c r="G132" s="10">
        <v>278</v>
      </c>
      <c r="H132" s="10">
        <v>78</v>
      </c>
      <c r="I132" s="102">
        <v>21684</v>
      </c>
      <c r="J132" s="10" t="s">
        <v>95</v>
      </c>
      <c r="K132" s="9" t="s">
        <v>96</v>
      </c>
      <c r="L132" s="9" t="s">
        <v>97</v>
      </c>
      <c r="M132" s="7"/>
    </row>
    <row r="133" spans="1:13" x14ac:dyDescent="0.45">
      <c r="A133" s="9" t="s">
        <v>60</v>
      </c>
      <c r="B133" s="9" t="s">
        <v>524</v>
      </c>
      <c r="C133" s="9" t="s">
        <v>4</v>
      </c>
      <c r="D133" s="9" t="s">
        <v>523</v>
      </c>
      <c r="E133" s="9" t="s">
        <v>93</v>
      </c>
      <c r="F133" s="10" t="s">
        <v>94</v>
      </c>
      <c r="G133" s="10">
        <v>278</v>
      </c>
      <c r="H133" s="10">
        <v>159</v>
      </c>
      <c r="I133" s="102">
        <v>44202</v>
      </c>
      <c r="J133" s="10" t="s">
        <v>95</v>
      </c>
      <c r="K133" s="9" t="s">
        <v>96</v>
      </c>
      <c r="L133" s="9" t="s">
        <v>97</v>
      </c>
      <c r="M133" s="7"/>
    </row>
    <row r="134" spans="1:13" x14ac:dyDescent="0.45">
      <c r="A134" s="9" t="s">
        <v>60</v>
      </c>
      <c r="B134" s="9" t="s">
        <v>525</v>
      </c>
      <c r="C134" s="9" t="s">
        <v>4</v>
      </c>
      <c r="D134" s="9" t="s">
        <v>523</v>
      </c>
      <c r="E134" s="9" t="s">
        <v>93</v>
      </c>
      <c r="F134" s="10" t="s">
        <v>94</v>
      </c>
      <c r="G134" s="10">
        <v>278</v>
      </c>
      <c r="H134" s="10">
        <v>156</v>
      </c>
      <c r="I134" s="102">
        <v>43368</v>
      </c>
      <c r="J134" s="10" t="s">
        <v>95</v>
      </c>
      <c r="K134" s="9" t="s">
        <v>96</v>
      </c>
      <c r="L134" s="9" t="s">
        <v>97</v>
      </c>
      <c r="M134" s="7"/>
    </row>
    <row r="135" spans="1:13" x14ac:dyDescent="0.45">
      <c r="A135" s="9" t="s">
        <v>60</v>
      </c>
      <c r="B135" s="9" t="s">
        <v>526</v>
      </c>
      <c r="C135" s="9" t="s">
        <v>4</v>
      </c>
      <c r="D135" s="9" t="s">
        <v>527</v>
      </c>
      <c r="E135" s="9" t="s">
        <v>93</v>
      </c>
      <c r="F135" s="10" t="s">
        <v>94</v>
      </c>
      <c r="G135" s="10">
        <v>278</v>
      </c>
      <c r="H135" s="10">
        <v>75</v>
      </c>
      <c r="I135" s="102">
        <v>20850</v>
      </c>
      <c r="J135" s="10" t="s">
        <v>95</v>
      </c>
      <c r="K135" s="9" t="s">
        <v>96</v>
      </c>
      <c r="L135" s="9" t="s">
        <v>97</v>
      </c>
      <c r="M135" s="7"/>
    </row>
    <row r="136" spans="1:13" x14ac:dyDescent="0.45">
      <c r="A136" s="9" t="s">
        <v>60</v>
      </c>
      <c r="B136" s="9" t="s">
        <v>529</v>
      </c>
      <c r="C136" s="9" t="s">
        <v>103</v>
      </c>
      <c r="D136" s="9" t="s">
        <v>527</v>
      </c>
      <c r="E136" s="9" t="s">
        <v>93</v>
      </c>
      <c r="F136" s="10" t="s">
        <v>154</v>
      </c>
      <c r="G136" s="10">
        <v>278</v>
      </c>
      <c r="H136" s="10">
        <v>82</v>
      </c>
      <c r="I136" s="102">
        <v>22796</v>
      </c>
      <c r="J136" s="10" t="s">
        <v>95</v>
      </c>
      <c r="K136" s="9" t="s">
        <v>155</v>
      </c>
      <c r="L136" s="9" t="s">
        <v>156</v>
      </c>
      <c r="M136" s="7"/>
    </row>
    <row r="137" spans="1:13" x14ac:dyDescent="0.45">
      <c r="A137" s="9" t="s">
        <v>60</v>
      </c>
      <c r="B137" s="9" t="s">
        <v>524</v>
      </c>
      <c r="C137" s="9" t="s">
        <v>103</v>
      </c>
      <c r="D137" s="9" t="s">
        <v>523</v>
      </c>
      <c r="E137" s="9" t="s">
        <v>93</v>
      </c>
      <c r="F137" s="10" t="s">
        <v>154</v>
      </c>
      <c r="G137" s="10">
        <v>278</v>
      </c>
      <c r="H137" s="10">
        <v>156</v>
      </c>
      <c r="I137" s="102">
        <v>43368</v>
      </c>
      <c r="J137" s="10" t="s">
        <v>95</v>
      </c>
      <c r="K137" s="9" t="s">
        <v>155</v>
      </c>
      <c r="L137" s="9" t="s">
        <v>156</v>
      </c>
      <c r="M137" s="7"/>
    </row>
    <row r="138" spans="1:13" x14ac:dyDescent="0.45">
      <c r="A138" s="9" t="s">
        <v>60</v>
      </c>
      <c r="B138" s="9" t="s">
        <v>525</v>
      </c>
      <c r="C138" s="9" t="s">
        <v>103</v>
      </c>
      <c r="D138" s="9" t="s">
        <v>523</v>
      </c>
      <c r="E138" s="9" t="s">
        <v>93</v>
      </c>
      <c r="F138" s="10" t="s">
        <v>154</v>
      </c>
      <c r="G138" s="10">
        <v>278</v>
      </c>
      <c r="H138" s="10">
        <v>153</v>
      </c>
      <c r="I138" s="102">
        <v>42534</v>
      </c>
      <c r="J138" s="10" t="s">
        <v>95</v>
      </c>
      <c r="K138" s="9" t="s">
        <v>155</v>
      </c>
      <c r="L138" s="9" t="s">
        <v>156</v>
      </c>
      <c r="M138" s="7"/>
    </row>
    <row r="139" spans="1:13" x14ac:dyDescent="0.45">
      <c r="A139" s="9" t="s">
        <v>60</v>
      </c>
      <c r="B139" s="9" t="s">
        <v>526</v>
      </c>
      <c r="C139" s="9" t="s">
        <v>103</v>
      </c>
      <c r="D139" s="9" t="s">
        <v>527</v>
      </c>
      <c r="E139" s="9" t="s">
        <v>93</v>
      </c>
      <c r="F139" s="10" t="s">
        <v>154</v>
      </c>
      <c r="G139" s="10">
        <v>278</v>
      </c>
      <c r="H139" s="10">
        <v>79</v>
      </c>
      <c r="I139" s="102">
        <v>21962</v>
      </c>
      <c r="J139" s="10" t="s">
        <v>95</v>
      </c>
      <c r="K139" s="9" t="s">
        <v>155</v>
      </c>
      <c r="L139" s="9" t="s">
        <v>156</v>
      </c>
      <c r="M139" s="7"/>
    </row>
    <row r="140" spans="1:13" x14ac:dyDescent="0.45">
      <c r="A140" s="9" t="s">
        <v>245</v>
      </c>
      <c r="B140" s="9" t="s">
        <v>531</v>
      </c>
      <c r="C140" s="9" t="s">
        <v>4</v>
      </c>
      <c r="D140" s="9" t="s">
        <v>532</v>
      </c>
      <c r="E140" s="9" t="s">
        <v>93</v>
      </c>
      <c r="F140" s="10" t="s">
        <v>94</v>
      </c>
      <c r="G140" s="10">
        <v>278</v>
      </c>
      <c r="H140" s="10">
        <v>61</v>
      </c>
      <c r="I140" s="102">
        <v>16958</v>
      </c>
      <c r="J140" s="10" t="s">
        <v>95</v>
      </c>
      <c r="K140" s="9" t="s">
        <v>96</v>
      </c>
      <c r="L140" s="9" t="s">
        <v>97</v>
      </c>
      <c r="M140" s="7"/>
    </row>
    <row r="141" spans="1:13" x14ac:dyDescent="0.45">
      <c r="A141" s="9" t="s">
        <v>245</v>
      </c>
      <c r="B141" s="9" t="s">
        <v>533</v>
      </c>
      <c r="C141" s="9" t="s">
        <v>4</v>
      </c>
      <c r="D141" s="9" t="s">
        <v>534</v>
      </c>
      <c r="E141" s="9" t="s">
        <v>93</v>
      </c>
      <c r="F141" s="10" t="s">
        <v>94</v>
      </c>
      <c r="G141" s="10">
        <v>278</v>
      </c>
      <c r="H141" s="10">
        <v>7</v>
      </c>
      <c r="I141" s="102">
        <v>1946</v>
      </c>
      <c r="J141" s="10" t="s">
        <v>95</v>
      </c>
      <c r="K141" s="9" t="s">
        <v>96</v>
      </c>
      <c r="L141" s="9" t="s">
        <v>97</v>
      </c>
      <c r="M141" s="7"/>
    </row>
    <row r="142" spans="1:13" x14ac:dyDescent="0.45">
      <c r="A142" s="9" t="s">
        <v>245</v>
      </c>
      <c r="B142" s="9" t="s">
        <v>535</v>
      </c>
      <c r="C142" s="9" t="s">
        <v>4</v>
      </c>
      <c r="D142" s="9" t="s">
        <v>534</v>
      </c>
      <c r="E142" s="9" t="s">
        <v>93</v>
      </c>
      <c r="F142" s="10" t="s">
        <v>94</v>
      </c>
      <c r="G142" s="10">
        <v>278</v>
      </c>
      <c r="H142" s="10">
        <v>10</v>
      </c>
      <c r="I142" s="102">
        <v>2780</v>
      </c>
      <c r="J142" s="10" t="s">
        <v>95</v>
      </c>
      <c r="K142" s="9" t="s">
        <v>96</v>
      </c>
      <c r="L142" s="9" t="s">
        <v>97</v>
      </c>
      <c r="M142" s="7"/>
    </row>
    <row r="143" spans="1:13" x14ac:dyDescent="0.45">
      <c r="A143" s="9" t="s">
        <v>245</v>
      </c>
      <c r="B143" s="9" t="s">
        <v>531</v>
      </c>
      <c r="C143" s="9" t="s">
        <v>103</v>
      </c>
      <c r="D143" s="9" t="s">
        <v>523</v>
      </c>
      <c r="E143" s="9" t="s">
        <v>93</v>
      </c>
      <c r="F143" s="10" t="s">
        <v>154</v>
      </c>
      <c r="G143" s="10">
        <v>278</v>
      </c>
      <c r="H143" s="10">
        <v>66</v>
      </c>
      <c r="I143" s="102">
        <v>18348</v>
      </c>
      <c r="J143" s="10" t="s">
        <v>95</v>
      </c>
      <c r="K143" s="9" t="s">
        <v>155</v>
      </c>
      <c r="L143" s="9" t="s">
        <v>156</v>
      </c>
      <c r="M143" s="7"/>
    </row>
    <row r="144" spans="1:13" x14ac:dyDescent="0.45">
      <c r="A144" s="9" t="s">
        <v>245</v>
      </c>
      <c r="B144" s="9" t="s">
        <v>531</v>
      </c>
      <c r="C144" s="9" t="s">
        <v>103</v>
      </c>
      <c r="D144" s="9" t="s">
        <v>523</v>
      </c>
      <c r="E144" s="9" t="s">
        <v>93</v>
      </c>
      <c r="F144" s="10" t="s">
        <v>150</v>
      </c>
      <c r="G144" s="10">
        <v>280</v>
      </c>
      <c r="H144" s="10">
        <v>66</v>
      </c>
      <c r="I144" s="102">
        <v>18480</v>
      </c>
      <c r="J144" s="10" t="s">
        <v>232</v>
      </c>
      <c r="K144" s="9" t="s">
        <v>233</v>
      </c>
      <c r="L144" s="9" t="s">
        <v>234</v>
      </c>
      <c r="M144" s="7"/>
    </row>
    <row r="145" spans="1:13" x14ac:dyDescent="0.45">
      <c r="A145" s="9" t="s">
        <v>245</v>
      </c>
      <c r="B145" s="9" t="s">
        <v>533</v>
      </c>
      <c r="C145" s="9" t="s">
        <v>103</v>
      </c>
      <c r="D145" s="9" t="s">
        <v>534</v>
      </c>
      <c r="E145" s="9" t="s">
        <v>93</v>
      </c>
      <c r="F145" s="10" t="s">
        <v>154</v>
      </c>
      <c r="G145" s="10">
        <v>278</v>
      </c>
      <c r="H145" s="10">
        <v>20</v>
      </c>
      <c r="I145" s="102">
        <v>5560</v>
      </c>
      <c r="J145" s="10" t="s">
        <v>95</v>
      </c>
      <c r="K145" s="9" t="s">
        <v>155</v>
      </c>
      <c r="L145" s="9" t="s">
        <v>156</v>
      </c>
      <c r="M145" s="7"/>
    </row>
    <row r="146" spans="1:13" x14ac:dyDescent="0.45">
      <c r="A146" s="9" t="s">
        <v>245</v>
      </c>
      <c r="B146" s="9" t="s">
        <v>533</v>
      </c>
      <c r="C146" s="9" t="s">
        <v>103</v>
      </c>
      <c r="D146" s="9" t="s">
        <v>534</v>
      </c>
      <c r="E146" s="9" t="s">
        <v>93</v>
      </c>
      <c r="F146" s="10" t="s">
        <v>150</v>
      </c>
      <c r="G146" s="10">
        <v>280</v>
      </c>
      <c r="H146" s="10">
        <v>20</v>
      </c>
      <c r="I146" s="102">
        <v>5600</v>
      </c>
      <c r="J146" s="10" t="s">
        <v>232</v>
      </c>
      <c r="K146" s="9" t="s">
        <v>233</v>
      </c>
      <c r="L146" s="9" t="s">
        <v>234</v>
      </c>
      <c r="M146" s="7"/>
    </row>
    <row r="147" spans="1:13" x14ac:dyDescent="0.45">
      <c r="A147" s="9" t="s">
        <v>245</v>
      </c>
      <c r="B147" s="9" t="s">
        <v>535</v>
      </c>
      <c r="C147" s="9" t="s">
        <v>103</v>
      </c>
      <c r="D147" s="9" t="s">
        <v>534</v>
      </c>
      <c r="E147" s="9" t="s">
        <v>93</v>
      </c>
      <c r="F147" s="10" t="s">
        <v>154</v>
      </c>
      <c r="G147" s="10">
        <v>278</v>
      </c>
      <c r="H147" s="10">
        <v>10</v>
      </c>
      <c r="I147" s="102">
        <v>2780</v>
      </c>
      <c r="J147" s="10" t="s">
        <v>95</v>
      </c>
      <c r="K147" s="9" t="s">
        <v>155</v>
      </c>
      <c r="L147" s="9" t="s">
        <v>156</v>
      </c>
      <c r="M147" s="7"/>
    </row>
    <row r="148" spans="1:13" x14ac:dyDescent="0.45">
      <c r="A148" s="9" t="s">
        <v>245</v>
      </c>
      <c r="B148" s="9" t="s">
        <v>535</v>
      </c>
      <c r="C148" s="9" t="s">
        <v>103</v>
      </c>
      <c r="D148" s="9" t="s">
        <v>534</v>
      </c>
      <c r="E148" s="9" t="s">
        <v>93</v>
      </c>
      <c r="F148" s="10" t="s">
        <v>150</v>
      </c>
      <c r="G148" s="10">
        <v>280</v>
      </c>
      <c r="H148" s="10">
        <v>10</v>
      </c>
      <c r="I148" s="102">
        <v>2800</v>
      </c>
      <c r="J148" s="10" t="s">
        <v>232</v>
      </c>
      <c r="K148" s="9" t="s">
        <v>233</v>
      </c>
      <c r="L148" s="9" t="s">
        <v>234</v>
      </c>
      <c r="M148" s="7"/>
    </row>
    <row r="149" spans="1:13" x14ac:dyDescent="0.45">
      <c r="A149" s="9" t="s">
        <v>60</v>
      </c>
      <c r="B149" s="9" t="s">
        <v>522</v>
      </c>
      <c r="C149" s="9" t="s">
        <v>4</v>
      </c>
      <c r="D149" s="9" t="s">
        <v>523</v>
      </c>
      <c r="E149" s="9" t="s">
        <v>5</v>
      </c>
      <c r="F149" s="10" t="s">
        <v>19</v>
      </c>
      <c r="G149" s="10">
        <v>206</v>
      </c>
      <c r="H149" s="10">
        <v>154</v>
      </c>
      <c r="I149" s="102">
        <v>31724</v>
      </c>
      <c r="J149" s="10" t="s">
        <v>20</v>
      </c>
      <c r="K149" s="9" t="s">
        <v>21</v>
      </c>
      <c r="L149" s="9" t="s">
        <v>22</v>
      </c>
      <c r="M149" s="7"/>
    </row>
    <row r="150" spans="1:13" x14ac:dyDescent="0.45">
      <c r="A150" s="9" t="s">
        <v>60</v>
      </c>
      <c r="B150" s="9" t="s">
        <v>522</v>
      </c>
      <c r="C150" s="9" t="s">
        <v>4</v>
      </c>
      <c r="D150" s="9" t="s">
        <v>523</v>
      </c>
      <c r="E150" s="9" t="s">
        <v>5</v>
      </c>
      <c r="F150" s="10" t="s">
        <v>15</v>
      </c>
      <c r="G150" s="10">
        <v>215</v>
      </c>
      <c r="H150" s="10">
        <v>154</v>
      </c>
      <c r="I150" s="102">
        <v>33110</v>
      </c>
      <c r="J150" s="10" t="s">
        <v>16</v>
      </c>
      <c r="K150" s="9" t="s">
        <v>17</v>
      </c>
      <c r="L150" s="9" t="s">
        <v>18</v>
      </c>
      <c r="M150" s="7"/>
    </row>
    <row r="151" spans="1:13" x14ac:dyDescent="0.45">
      <c r="A151" s="9" t="s">
        <v>60</v>
      </c>
      <c r="B151" s="9" t="s">
        <v>522</v>
      </c>
      <c r="C151" s="9" t="s">
        <v>4</v>
      </c>
      <c r="D151" s="9" t="s">
        <v>523</v>
      </c>
      <c r="E151" s="9" t="s">
        <v>5</v>
      </c>
      <c r="F151" s="10" t="s">
        <v>6</v>
      </c>
      <c r="G151" s="10">
        <v>195</v>
      </c>
      <c r="H151" s="10">
        <v>154</v>
      </c>
      <c r="I151" s="102">
        <v>30030</v>
      </c>
      <c r="J151" s="10" t="s">
        <v>7</v>
      </c>
      <c r="K151" s="9" t="s">
        <v>8</v>
      </c>
      <c r="L151" s="9" t="s">
        <v>9</v>
      </c>
      <c r="M151" s="7"/>
    </row>
    <row r="152" spans="1:13" x14ac:dyDescent="0.45">
      <c r="A152" s="9" t="s">
        <v>60</v>
      </c>
      <c r="B152" s="9" t="s">
        <v>522</v>
      </c>
      <c r="C152" s="9" t="s">
        <v>4</v>
      </c>
      <c r="D152" s="9" t="s">
        <v>527</v>
      </c>
      <c r="E152" s="9" t="s">
        <v>5</v>
      </c>
      <c r="F152" s="10" t="s">
        <v>37</v>
      </c>
      <c r="G152" s="10">
        <v>218</v>
      </c>
      <c r="H152" s="10">
        <v>78</v>
      </c>
      <c r="I152" s="102">
        <v>17004</v>
      </c>
      <c r="J152" s="10" t="s">
        <v>38</v>
      </c>
      <c r="K152" s="9" t="s">
        <v>39</v>
      </c>
      <c r="L152" s="9" t="s">
        <v>40</v>
      </c>
      <c r="M152" s="7"/>
    </row>
    <row r="153" spans="1:13" x14ac:dyDescent="0.45">
      <c r="A153" s="9" t="s">
        <v>60</v>
      </c>
      <c r="B153" s="9" t="s">
        <v>529</v>
      </c>
      <c r="C153" s="9" t="s">
        <v>103</v>
      </c>
      <c r="D153" s="9" t="s">
        <v>527</v>
      </c>
      <c r="E153" s="9" t="s">
        <v>5</v>
      </c>
      <c r="F153" s="10" t="s">
        <v>116</v>
      </c>
      <c r="G153" s="10">
        <v>199</v>
      </c>
      <c r="H153" s="10">
        <v>82</v>
      </c>
      <c r="I153" s="102">
        <v>16318</v>
      </c>
      <c r="J153" s="10" t="s">
        <v>7</v>
      </c>
      <c r="K153" s="9" t="s">
        <v>117</v>
      </c>
      <c r="L153" s="9" t="s">
        <v>118</v>
      </c>
      <c r="M153" s="7"/>
    </row>
    <row r="154" spans="1:13" x14ac:dyDescent="0.45">
      <c r="A154" s="9" t="s">
        <v>60</v>
      </c>
      <c r="B154" s="9" t="s">
        <v>524</v>
      </c>
      <c r="C154" s="9" t="s">
        <v>103</v>
      </c>
      <c r="D154" s="9" t="s">
        <v>523</v>
      </c>
      <c r="E154" s="9" t="s">
        <v>5</v>
      </c>
      <c r="F154" s="10" t="s">
        <v>116</v>
      </c>
      <c r="G154" s="10">
        <v>199</v>
      </c>
      <c r="H154" s="10">
        <v>156</v>
      </c>
      <c r="I154" s="102">
        <v>31044</v>
      </c>
      <c r="J154" s="10" t="s">
        <v>7</v>
      </c>
      <c r="K154" s="9" t="s">
        <v>117</v>
      </c>
      <c r="L154" s="9" t="s">
        <v>118</v>
      </c>
      <c r="M154" s="7"/>
    </row>
    <row r="155" spans="1:13" x14ac:dyDescent="0.45">
      <c r="A155" s="9" t="s">
        <v>60</v>
      </c>
      <c r="B155" s="9" t="s">
        <v>525</v>
      </c>
      <c r="C155" s="9" t="s">
        <v>103</v>
      </c>
      <c r="D155" s="9" t="s">
        <v>523</v>
      </c>
      <c r="E155" s="9" t="s">
        <v>5</v>
      </c>
      <c r="F155" s="10" t="s">
        <v>116</v>
      </c>
      <c r="G155" s="10">
        <v>199</v>
      </c>
      <c r="H155" s="10">
        <v>153</v>
      </c>
      <c r="I155" s="102">
        <v>30447</v>
      </c>
      <c r="J155" s="10" t="s">
        <v>7</v>
      </c>
      <c r="K155" s="9" t="s">
        <v>117</v>
      </c>
      <c r="L155" s="9" t="s">
        <v>118</v>
      </c>
      <c r="M155" s="7"/>
    </row>
    <row r="156" spans="1:13" x14ac:dyDescent="0.45">
      <c r="A156" s="9" t="s">
        <v>60</v>
      </c>
      <c r="B156" s="9" t="s">
        <v>526</v>
      </c>
      <c r="C156" s="9" t="s">
        <v>103</v>
      </c>
      <c r="D156" s="9" t="s">
        <v>527</v>
      </c>
      <c r="E156" s="9" t="s">
        <v>5</v>
      </c>
      <c r="F156" s="10" t="s">
        <v>116</v>
      </c>
      <c r="G156" s="10">
        <v>199</v>
      </c>
      <c r="H156" s="10">
        <v>79</v>
      </c>
      <c r="I156" s="102">
        <v>15721</v>
      </c>
      <c r="J156" s="10" t="s">
        <v>7</v>
      </c>
      <c r="K156" s="9" t="s">
        <v>117</v>
      </c>
      <c r="L156" s="9" t="s">
        <v>118</v>
      </c>
      <c r="M156" s="7"/>
    </row>
    <row r="157" spans="1:13" x14ac:dyDescent="0.45">
      <c r="A157" s="9" t="s">
        <v>60</v>
      </c>
      <c r="B157" s="9" t="s">
        <v>528</v>
      </c>
      <c r="C157" s="9" t="s">
        <v>103</v>
      </c>
      <c r="D157" s="9" t="s">
        <v>527</v>
      </c>
      <c r="E157" s="9" t="s">
        <v>5</v>
      </c>
      <c r="F157" s="10" t="s">
        <v>116</v>
      </c>
      <c r="G157" s="10">
        <v>199</v>
      </c>
      <c r="H157" s="10">
        <v>78</v>
      </c>
      <c r="I157" s="102">
        <v>15522</v>
      </c>
      <c r="J157" s="10" t="s">
        <v>7</v>
      </c>
      <c r="K157" s="9" t="s">
        <v>117</v>
      </c>
      <c r="L157" s="9" t="s">
        <v>118</v>
      </c>
      <c r="M157" s="7"/>
    </row>
    <row r="158" spans="1:13" x14ac:dyDescent="0.45">
      <c r="A158" s="9" t="s">
        <v>60</v>
      </c>
      <c r="B158" s="9" t="s">
        <v>529</v>
      </c>
      <c r="C158" s="9" t="s">
        <v>4</v>
      </c>
      <c r="D158" s="9" t="s">
        <v>527</v>
      </c>
      <c r="E158" s="9" t="s">
        <v>69</v>
      </c>
      <c r="F158" s="10" t="s">
        <v>70</v>
      </c>
      <c r="G158" s="10">
        <v>180</v>
      </c>
      <c r="H158" s="10">
        <v>78</v>
      </c>
      <c r="I158" s="102">
        <v>14040</v>
      </c>
      <c r="J158" s="10" t="s">
        <v>71</v>
      </c>
      <c r="K158" s="9" t="s">
        <v>72</v>
      </c>
      <c r="L158" s="9" t="s">
        <v>73</v>
      </c>
      <c r="M158" s="7"/>
    </row>
    <row r="159" spans="1:13" x14ac:dyDescent="0.45">
      <c r="A159" s="9" t="s">
        <v>60</v>
      </c>
      <c r="B159" s="9" t="s">
        <v>524</v>
      </c>
      <c r="C159" s="9" t="s">
        <v>4</v>
      </c>
      <c r="D159" s="9" t="s">
        <v>523</v>
      </c>
      <c r="E159" s="9" t="s">
        <v>69</v>
      </c>
      <c r="F159" s="10" t="s">
        <v>70</v>
      </c>
      <c r="G159" s="10">
        <v>180</v>
      </c>
      <c r="H159" s="10">
        <v>159</v>
      </c>
      <c r="I159" s="102">
        <v>28620</v>
      </c>
      <c r="J159" s="10" t="s">
        <v>71</v>
      </c>
      <c r="K159" s="9" t="s">
        <v>72</v>
      </c>
      <c r="L159" s="9" t="s">
        <v>73</v>
      </c>
      <c r="M159" s="7"/>
    </row>
    <row r="160" spans="1:13" x14ac:dyDescent="0.45">
      <c r="A160" s="9" t="s">
        <v>60</v>
      </c>
      <c r="B160" s="9" t="s">
        <v>525</v>
      </c>
      <c r="C160" s="9" t="s">
        <v>4</v>
      </c>
      <c r="D160" s="9" t="s">
        <v>523</v>
      </c>
      <c r="E160" s="9" t="s">
        <v>69</v>
      </c>
      <c r="F160" s="10" t="s">
        <v>91</v>
      </c>
      <c r="G160" s="10">
        <v>265</v>
      </c>
      <c r="H160" s="10">
        <v>156</v>
      </c>
      <c r="I160" s="102">
        <v>41340</v>
      </c>
      <c r="J160" s="10" t="s">
        <v>92</v>
      </c>
      <c r="K160" s="9" t="s">
        <v>90</v>
      </c>
      <c r="L160" s="9"/>
      <c r="M160" s="7"/>
    </row>
    <row r="161" spans="1:13" x14ac:dyDescent="0.45">
      <c r="A161" s="9" t="s">
        <v>60</v>
      </c>
      <c r="B161" s="9" t="s">
        <v>525</v>
      </c>
      <c r="C161" s="9" t="s">
        <v>4</v>
      </c>
      <c r="D161" s="9" t="s">
        <v>523</v>
      </c>
      <c r="E161" s="9" t="s">
        <v>69</v>
      </c>
      <c r="F161" s="10" t="s">
        <v>70</v>
      </c>
      <c r="G161" s="10">
        <v>180</v>
      </c>
      <c r="H161" s="10">
        <v>156</v>
      </c>
      <c r="I161" s="102">
        <v>28080</v>
      </c>
      <c r="J161" s="10" t="s">
        <v>71</v>
      </c>
      <c r="K161" s="9" t="s">
        <v>72</v>
      </c>
      <c r="L161" s="9" t="s">
        <v>73</v>
      </c>
      <c r="M161" s="7"/>
    </row>
    <row r="162" spans="1:13" x14ac:dyDescent="0.45">
      <c r="A162" s="9" t="s">
        <v>60</v>
      </c>
      <c r="B162" s="9" t="s">
        <v>526</v>
      </c>
      <c r="C162" s="9" t="s">
        <v>4</v>
      </c>
      <c r="D162" s="9" t="s">
        <v>527</v>
      </c>
      <c r="E162" s="9" t="s">
        <v>69</v>
      </c>
      <c r="F162" s="10" t="s">
        <v>70</v>
      </c>
      <c r="G162" s="10">
        <v>180</v>
      </c>
      <c r="H162" s="10">
        <v>75</v>
      </c>
      <c r="I162" s="102">
        <v>13500</v>
      </c>
      <c r="J162" s="10" t="s">
        <v>71</v>
      </c>
      <c r="K162" s="9" t="s">
        <v>72</v>
      </c>
      <c r="L162" s="9" t="s">
        <v>73</v>
      </c>
      <c r="M162" s="7"/>
    </row>
    <row r="163" spans="1:13" x14ac:dyDescent="0.45">
      <c r="A163" s="9" t="s">
        <v>60</v>
      </c>
      <c r="B163" s="9" t="s">
        <v>528</v>
      </c>
      <c r="C163" s="9" t="s">
        <v>4</v>
      </c>
      <c r="D163" s="9" t="s">
        <v>527</v>
      </c>
      <c r="E163" s="9" t="s">
        <v>69</v>
      </c>
      <c r="F163" s="10" t="s">
        <v>70</v>
      </c>
      <c r="G163" s="10">
        <v>180</v>
      </c>
      <c r="H163" s="10">
        <v>77</v>
      </c>
      <c r="I163" s="102">
        <v>13860</v>
      </c>
      <c r="J163" s="10" t="s">
        <v>71</v>
      </c>
      <c r="K163" s="9" t="s">
        <v>72</v>
      </c>
      <c r="L163" s="9" t="s">
        <v>73</v>
      </c>
      <c r="M163" s="7"/>
    </row>
    <row r="164" spans="1:13" x14ac:dyDescent="0.45">
      <c r="A164" s="9" t="s">
        <v>60</v>
      </c>
      <c r="B164" s="9" t="s">
        <v>522</v>
      </c>
      <c r="C164" s="9" t="s">
        <v>103</v>
      </c>
      <c r="D164" s="9" t="s">
        <v>523</v>
      </c>
      <c r="E164" s="9" t="s">
        <v>69</v>
      </c>
      <c r="F164" s="10" t="s">
        <v>112</v>
      </c>
      <c r="G164" s="10">
        <v>228</v>
      </c>
      <c r="H164" s="10">
        <v>164</v>
      </c>
      <c r="I164" s="102">
        <v>37392</v>
      </c>
      <c r="J164" s="10" t="s">
        <v>113</v>
      </c>
      <c r="K164" s="9" t="s">
        <v>114</v>
      </c>
      <c r="L164" s="9" t="s">
        <v>115</v>
      </c>
      <c r="M164" s="7"/>
    </row>
    <row r="165" spans="1:13" x14ac:dyDescent="0.45">
      <c r="A165" s="9" t="s">
        <v>60</v>
      </c>
      <c r="B165" s="9" t="s">
        <v>522</v>
      </c>
      <c r="C165" s="9" t="s">
        <v>103</v>
      </c>
      <c r="D165" s="9" t="s">
        <v>527</v>
      </c>
      <c r="E165" s="9" t="s">
        <v>69</v>
      </c>
      <c r="F165" s="10" t="s">
        <v>108</v>
      </c>
      <c r="G165" s="10">
        <v>249</v>
      </c>
      <c r="H165" s="10">
        <v>60</v>
      </c>
      <c r="I165" s="102">
        <v>14940</v>
      </c>
      <c r="J165" s="10" t="s">
        <v>109</v>
      </c>
      <c r="K165" s="9" t="s">
        <v>110</v>
      </c>
      <c r="L165" s="9" t="s">
        <v>111</v>
      </c>
      <c r="M165" s="7"/>
    </row>
    <row r="166" spans="1:13" x14ac:dyDescent="0.45">
      <c r="A166" s="9" t="s">
        <v>60</v>
      </c>
      <c r="B166" s="9" t="s">
        <v>522</v>
      </c>
      <c r="C166" s="9" t="s">
        <v>103</v>
      </c>
      <c r="D166" s="9" t="s">
        <v>530</v>
      </c>
      <c r="E166" s="9" t="s">
        <v>69</v>
      </c>
      <c r="F166" s="10" t="s">
        <v>137</v>
      </c>
      <c r="G166" s="10">
        <v>253</v>
      </c>
      <c r="H166" s="10">
        <v>104</v>
      </c>
      <c r="I166" s="102">
        <v>26312</v>
      </c>
      <c r="J166" s="10" t="s">
        <v>138</v>
      </c>
      <c r="K166" s="9" t="s">
        <v>139</v>
      </c>
      <c r="L166" s="9" t="s">
        <v>140</v>
      </c>
      <c r="M166" s="7"/>
    </row>
    <row r="167" spans="1:13" x14ac:dyDescent="0.45">
      <c r="A167" s="9" t="s">
        <v>60</v>
      </c>
      <c r="B167" s="9" t="s">
        <v>522</v>
      </c>
      <c r="C167" s="9" t="s">
        <v>164</v>
      </c>
      <c r="D167" s="9" t="s">
        <v>530</v>
      </c>
      <c r="E167" s="9" t="s">
        <v>69</v>
      </c>
      <c r="F167" s="10" t="s">
        <v>185</v>
      </c>
      <c r="G167" s="10">
        <v>241</v>
      </c>
      <c r="H167" s="10">
        <v>79</v>
      </c>
      <c r="I167" s="102">
        <v>19039</v>
      </c>
      <c r="J167" s="10" t="s">
        <v>186</v>
      </c>
      <c r="K167" s="9" t="s">
        <v>187</v>
      </c>
      <c r="L167" s="9" t="s">
        <v>188</v>
      </c>
      <c r="M167" s="7"/>
    </row>
    <row r="168" spans="1:13" x14ac:dyDescent="0.45">
      <c r="A168" s="9" t="s">
        <v>60</v>
      </c>
      <c r="B168" s="9" t="s">
        <v>522</v>
      </c>
      <c r="C168" s="9" t="s">
        <v>164</v>
      </c>
      <c r="D168" s="9" t="s">
        <v>527</v>
      </c>
      <c r="E168" s="9" t="s">
        <v>69</v>
      </c>
      <c r="F168" s="10" t="s">
        <v>169</v>
      </c>
      <c r="G168" s="10">
        <v>232</v>
      </c>
      <c r="H168" s="10">
        <v>62</v>
      </c>
      <c r="I168" s="102">
        <v>14384</v>
      </c>
      <c r="J168" s="10" t="s">
        <v>109</v>
      </c>
      <c r="K168" s="9" t="s">
        <v>170</v>
      </c>
      <c r="L168" s="9" t="s">
        <v>171</v>
      </c>
      <c r="M168" s="7"/>
    </row>
    <row r="169" spans="1:13" x14ac:dyDescent="0.45">
      <c r="A169" s="9" t="s">
        <v>245</v>
      </c>
      <c r="B169" s="9" t="s">
        <v>531</v>
      </c>
      <c r="C169" s="9" t="s">
        <v>4</v>
      </c>
      <c r="D169" s="9" t="s">
        <v>532</v>
      </c>
      <c r="E169" s="9" t="s">
        <v>69</v>
      </c>
      <c r="F169" s="10" t="s">
        <v>203</v>
      </c>
      <c r="G169" s="10">
        <v>187</v>
      </c>
      <c r="H169" s="10">
        <v>61</v>
      </c>
      <c r="I169" s="102">
        <v>11407</v>
      </c>
      <c r="J169" s="10" t="s">
        <v>204</v>
      </c>
      <c r="K169" s="9" t="s">
        <v>205</v>
      </c>
      <c r="L169" s="9" t="s">
        <v>206</v>
      </c>
      <c r="M169" s="7"/>
    </row>
    <row r="170" spans="1:13" x14ac:dyDescent="0.45">
      <c r="A170" s="9" t="s">
        <v>245</v>
      </c>
      <c r="B170" s="9" t="s">
        <v>533</v>
      </c>
      <c r="C170" s="9" t="s">
        <v>4</v>
      </c>
      <c r="D170" s="9" t="s">
        <v>534</v>
      </c>
      <c r="E170" s="9" t="s">
        <v>69</v>
      </c>
      <c r="F170" s="10" t="s">
        <v>203</v>
      </c>
      <c r="G170" s="10">
        <v>187</v>
      </c>
      <c r="H170" s="10">
        <v>7</v>
      </c>
      <c r="I170" s="102">
        <v>1309</v>
      </c>
      <c r="J170" s="10" t="s">
        <v>204</v>
      </c>
      <c r="K170" s="9" t="s">
        <v>205</v>
      </c>
      <c r="L170" s="9" t="s">
        <v>206</v>
      </c>
      <c r="M170" s="7"/>
    </row>
    <row r="171" spans="1:13" x14ac:dyDescent="0.45">
      <c r="A171" s="9" t="s">
        <v>245</v>
      </c>
      <c r="B171" s="9" t="s">
        <v>533</v>
      </c>
      <c r="C171" s="9" t="s">
        <v>4</v>
      </c>
      <c r="D171" s="9" t="s">
        <v>534</v>
      </c>
      <c r="E171" s="9" t="s">
        <v>69</v>
      </c>
      <c r="F171" s="10" t="s">
        <v>217</v>
      </c>
      <c r="G171" s="10">
        <v>285</v>
      </c>
      <c r="H171" s="10">
        <v>7</v>
      </c>
      <c r="I171" s="102">
        <v>1995</v>
      </c>
      <c r="J171" s="10" t="s">
        <v>92</v>
      </c>
      <c r="K171" s="9" t="s">
        <v>90</v>
      </c>
      <c r="L171" s="9"/>
      <c r="M171" s="7"/>
    </row>
    <row r="172" spans="1:13" x14ac:dyDescent="0.45">
      <c r="A172" s="9" t="s">
        <v>245</v>
      </c>
      <c r="B172" s="9" t="s">
        <v>535</v>
      </c>
      <c r="C172" s="9" t="s">
        <v>4</v>
      </c>
      <c r="D172" s="9" t="s">
        <v>534</v>
      </c>
      <c r="E172" s="9" t="s">
        <v>69</v>
      </c>
      <c r="F172" s="10" t="s">
        <v>203</v>
      </c>
      <c r="G172" s="10">
        <v>187</v>
      </c>
      <c r="H172" s="10">
        <v>10</v>
      </c>
      <c r="I172" s="102">
        <v>1870</v>
      </c>
      <c r="J172" s="10" t="s">
        <v>204</v>
      </c>
      <c r="K172" s="9" t="s">
        <v>205</v>
      </c>
      <c r="L172" s="9" t="s">
        <v>206</v>
      </c>
      <c r="M172" s="7"/>
    </row>
    <row r="173" spans="1:13" x14ac:dyDescent="0.45">
      <c r="A173" s="9" t="s">
        <v>245</v>
      </c>
      <c r="B173" s="9" t="s">
        <v>535</v>
      </c>
      <c r="C173" s="9" t="s">
        <v>4</v>
      </c>
      <c r="D173" s="9" t="s">
        <v>536</v>
      </c>
      <c r="E173" s="9" t="s">
        <v>69</v>
      </c>
      <c r="F173" s="10" t="s">
        <v>217</v>
      </c>
      <c r="G173" s="10">
        <v>285</v>
      </c>
      <c r="H173" s="10">
        <v>5</v>
      </c>
      <c r="I173" s="102">
        <v>1425</v>
      </c>
      <c r="J173" s="10" t="s">
        <v>92</v>
      </c>
      <c r="K173" s="9" t="s">
        <v>90</v>
      </c>
      <c r="L173" s="9"/>
      <c r="M173" s="7"/>
    </row>
    <row r="174" spans="1:13" x14ac:dyDescent="0.45">
      <c r="A174" s="9" t="s">
        <v>245</v>
      </c>
      <c r="B174" s="9" t="s">
        <v>531</v>
      </c>
      <c r="C174" s="9" t="s">
        <v>103</v>
      </c>
      <c r="D174" s="9" t="s">
        <v>523</v>
      </c>
      <c r="E174" s="9" t="s">
        <v>69</v>
      </c>
      <c r="F174" s="10" t="s">
        <v>221</v>
      </c>
      <c r="G174" s="10">
        <v>218</v>
      </c>
      <c r="H174" s="10">
        <v>66</v>
      </c>
      <c r="I174" s="102">
        <v>14388</v>
      </c>
      <c r="J174" s="10" t="s">
        <v>222</v>
      </c>
      <c r="K174" s="9" t="s">
        <v>223</v>
      </c>
      <c r="L174" s="9" t="s">
        <v>224</v>
      </c>
      <c r="M174" s="7"/>
    </row>
    <row r="175" spans="1:13" x14ac:dyDescent="0.45">
      <c r="A175" s="9" t="s">
        <v>245</v>
      </c>
      <c r="B175" s="9" t="s">
        <v>531</v>
      </c>
      <c r="C175" s="9" t="s">
        <v>103</v>
      </c>
      <c r="D175" s="9" t="s">
        <v>523</v>
      </c>
      <c r="E175" s="9" t="s">
        <v>69</v>
      </c>
      <c r="F175" s="10" t="s">
        <v>116</v>
      </c>
      <c r="G175" s="10">
        <v>205</v>
      </c>
      <c r="H175" s="10">
        <v>66</v>
      </c>
      <c r="I175" s="102">
        <v>13530</v>
      </c>
      <c r="J175" s="10" t="s">
        <v>218</v>
      </c>
      <c r="K175" s="9" t="s">
        <v>219</v>
      </c>
      <c r="L175" s="9" t="s">
        <v>220</v>
      </c>
      <c r="M175" s="7"/>
    </row>
    <row r="176" spans="1:13" x14ac:dyDescent="0.45">
      <c r="A176" s="9" t="s">
        <v>245</v>
      </c>
      <c r="B176" s="9" t="s">
        <v>531</v>
      </c>
      <c r="C176" s="9" t="s">
        <v>103</v>
      </c>
      <c r="D176" s="9" t="s">
        <v>523</v>
      </c>
      <c r="E176" s="9" t="s">
        <v>69</v>
      </c>
      <c r="F176" s="10" t="s">
        <v>225</v>
      </c>
      <c r="G176" s="10">
        <v>187</v>
      </c>
      <c r="H176" s="10">
        <v>66</v>
      </c>
      <c r="I176" s="102">
        <v>12342</v>
      </c>
      <c r="J176" s="10" t="s">
        <v>204</v>
      </c>
      <c r="K176" s="9" t="s">
        <v>226</v>
      </c>
      <c r="L176" s="9" t="s">
        <v>227</v>
      </c>
      <c r="M176" s="7"/>
    </row>
    <row r="177" spans="1:13" x14ac:dyDescent="0.45">
      <c r="A177" s="9" t="s">
        <v>245</v>
      </c>
      <c r="B177" s="9" t="s">
        <v>533</v>
      </c>
      <c r="C177" s="9" t="s">
        <v>103</v>
      </c>
      <c r="D177" s="9" t="s">
        <v>534</v>
      </c>
      <c r="E177" s="9" t="s">
        <v>69</v>
      </c>
      <c r="F177" s="10" t="s">
        <v>221</v>
      </c>
      <c r="G177" s="10">
        <v>218</v>
      </c>
      <c r="H177" s="10">
        <v>20</v>
      </c>
      <c r="I177" s="102">
        <v>4360</v>
      </c>
      <c r="J177" s="10" t="s">
        <v>222</v>
      </c>
      <c r="K177" s="9" t="s">
        <v>223</v>
      </c>
      <c r="L177" s="9" t="s">
        <v>224</v>
      </c>
      <c r="M177" s="7"/>
    </row>
    <row r="178" spans="1:13" x14ac:dyDescent="0.45">
      <c r="A178" s="9" t="s">
        <v>245</v>
      </c>
      <c r="B178" s="9" t="s">
        <v>533</v>
      </c>
      <c r="C178" s="9" t="s">
        <v>103</v>
      </c>
      <c r="D178" s="9" t="s">
        <v>534</v>
      </c>
      <c r="E178" s="9" t="s">
        <v>69</v>
      </c>
      <c r="F178" s="10" t="s">
        <v>116</v>
      </c>
      <c r="G178" s="10">
        <v>205</v>
      </c>
      <c r="H178" s="10">
        <v>20</v>
      </c>
      <c r="I178" s="102">
        <v>4100</v>
      </c>
      <c r="J178" s="10" t="s">
        <v>218</v>
      </c>
      <c r="K178" s="9" t="s">
        <v>219</v>
      </c>
      <c r="L178" s="9" t="s">
        <v>220</v>
      </c>
      <c r="M178" s="7"/>
    </row>
    <row r="179" spans="1:13" x14ac:dyDescent="0.45">
      <c r="A179" s="9" t="s">
        <v>245</v>
      </c>
      <c r="B179" s="9" t="s">
        <v>533</v>
      </c>
      <c r="C179" s="9" t="s">
        <v>103</v>
      </c>
      <c r="D179" s="9" t="s">
        <v>534</v>
      </c>
      <c r="E179" s="9" t="s">
        <v>69</v>
      </c>
      <c r="F179" s="10" t="s">
        <v>237</v>
      </c>
      <c r="G179" s="10">
        <v>254</v>
      </c>
      <c r="H179" s="10">
        <v>20</v>
      </c>
      <c r="I179" s="102">
        <v>5080</v>
      </c>
      <c r="J179" s="10" t="s">
        <v>92</v>
      </c>
      <c r="K179" s="9" t="s">
        <v>90</v>
      </c>
      <c r="L179" s="9"/>
      <c r="M179" s="7"/>
    </row>
    <row r="180" spans="1:13" x14ac:dyDescent="0.45">
      <c r="A180" s="9" t="s">
        <v>245</v>
      </c>
      <c r="B180" s="9" t="s">
        <v>533</v>
      </c>
      <c r="C180" s="9" t="s">
        <v>103</v>
      </c>
      <c r="D180" s="9" t="s">
        <v>534</v>
      </c>
      <c r="E180" s="9" t="s">
        <v>69</v>
      </c>
      <c r="F180" s="10" t="s">
        <v>225</v>
      </c>
      <c r="G180" s="10">
        <v>187</v>
      </c>
      <c r="H180" s="10">
        <v>20</v>
      </c>
      <c r="I180" s="102">
        <v>3740</v>
      </c>
      <c r="J180" s="10" t="s">
        <v>204</v>
      </c>
      <c r="K180" s="9" t="s">
        <v>226</v>
      </c>
      <c r="L180" s="9" t="s">
        <v>227</v>
      </c>
      <c r="M180" s="7"/>
    </row>
    <row r="181" spans="1:13" x14ac:dyDescent="0.45">
      <c r="A181" s="9" t="s">
        <v>245</v>
      </c>
      <c r="B181" s="9" t="s">
        <v>535</v>
      </c>
      <c r="C181" s="9" t="s">
        <v>103</v>
      </c>
      <c r="D181" s="9" t="s">
        <v>534</v>
      </c>
      <c r="E181" s="9" t="s">
        <v>69</v>
      </c>
      <c r="F181" s="10" t="s">
        <v>221</v>
      </c>
      <c r="G181" s="10">
        <v>218</v>
      </c>
      <c r="H181" s="10">
        <v>10</v>
      </c>
      <c r="I181" s="102">
        <v>2180</v>
      </c>
      <c r="J181" s="10" t="s">
        <v>222</v>
      </c>
      <c r="K181" s="9" t="s">
        <v>223</v>
      </c>
      <c r="L181" s="9" t="s">
        <v>224</v>
      </c>
      <c r="M181" s="7"/>
    </row>
    <row r="182" spans="1:13" x14ac:dyDescent="0.45">
      <c r="A182" s="9" t="s">
        <v>245</v>
      </c>
      <c r="B182" s="9" t="s">
        <v>535</v>
      </c>
      <c r="C182" s="9" t="s">
        <v>103</v>
      </c>
      <c r="D182" s="9" t="s">
        <v>534</v>
      </c>
      <c r="E182" s="9" t="s">
        <v>69</v>
      </c>
      <c r="F182" s="10" t="s">
        <v>116</v>
      </c>
      <c r="G182" s="10">
        <v>205</v>
      </c>
      <c r="H182" s="10">
        <v>10</v>
      </c>
      <c r="I182" s="102">
        <v>2050</v>
      </c>
      <c r="J182" s="10" t="s">
        <v>218</v>
      </c>
      <c r="K182" s="9" t="s">
        <v>219</v>
      </c>
      <c r="L182" s="9" t="s">
        <v>220</v>
      </c>
      <c r="M182" s="7"/>
    </row>
    <row r="183" spans="1:13" x14ac:dyDescent="0.45">
      <c r="A183" s="9" t="s">
        <v>245</v>
      </c>
      <c r="B183" s="9" t="s">
        <v>535</v>
      </c>
      <c r="C183" s="9" t="s">
        <v>103</v>
      </c>
      <c r="D183" s="9" t="s">
        <v>536</v>
      </c>
      <c r="E183" s="9" t="s">
        <v>69</v>
      </c>
      <c r="F183" s="10" t="s">
        <v>237</v>
      </c>
      <c r="G183" s="10">
        <v>254</v>
      </c>
      <c r="H183" s="10">
        <v>5</v>
      </c>
      <c r="I183" s="102">
        <v>1270</v>
      </c>
      <c r="J183" s="10" t="s">
        <v>92</v>
      </c>
      <c r="K183" s="9" t="s">
        <v>90</v>
      </c>
      <c r="L183" s="9"/>
      <c r="M183" s="7"/>
    </row>
    <row r="184" spans="1:13" x14ac:dyDescent="0.45">
      <c r="A184" s="9" t="s">
        <v>245</v>
      </c>
      <c r="B184" s="9" t="s">
        <v>535</v>
      </c>
      <c r="C184" s="9" t="s">
        <v>103</v>
      </c>
      <c r="D184" s="9" t="s">
        <v>534</v>
      </c>
      <c r="E184" s="9" t="s">
        <v>69</v>
      </c>
      <c r="F184" s="10" t="s">
        <v>225</v>
      </c>
      <c r="G184" s="10">
        <v>187</v>
      </c>
      <c r="H184" s="10">
        <v>10</v>
      </c>
      <c r="I184" s="102">
        <v>1870</v>
      </c>
      <c r="J184" s="10" t="s">
        <v>204</v>
      </c>
      <c r="K184" s="9" t="s">
        <v>226</v>
      </c>
      <c r="L184" s="9" t="s">
        <v>227</v>
      </c>
      <c r="M184" s="7"/>
    </row>
    <row r="185" spans="1:13" x14ac:dyDescent="0.45">
      <c r="A185" s="9" t="s">
        <v>245</v>
      </c>
      <c r="B185" s="9" t="s">
        <v>531</v>
      </c>
      <c r="C185" s="9" t="s">
        <v>164</v>
      </c>
      <c r="D185" s="9" t="s">
        <v>532</v>
      </c>
      <c r="E185" s="9" t="s">
        <v>69</v>
      </c>
      <c r="F185" s="10" t="s">
        <v>241</v>
      </c>
      <c r="G185" s="10">
        <v>233</v>
      </c>
      <c r="H185" s="10">
        <v>83</v>
      </c>
      <c r="I185" s="102">
        <v>19339</v>
      </c>
      <c r="J185" s="10" t="s">
        <v>242</v>
      </c>
      <c r="K185" s="9" t="s">
        <v>243</v>
      </c>
      <c r="L185" s="9" t="s">
        <v>244</v>
      </c>
      <c r="M185" s="7"/>
    </row>
    <row r="186" spans="1:13" x14ac:dyDescent="0.45">
      <c r="A186" s="9" t="s">
        <v>245</v>
      </c>
      <c r="B186" s="9" t="s">
        <v>531</v>
      </c>
      <c r="C186" s="9" t="s">
        <v>164</v>
      </c>
      <c r="D186" s="9" t="s">
        <v>532</v>
      </c>
      <c r="E186" s="9" t="s">
        <v>69</v>
      </c>
      <c r="F186" s="10" t="s">
        <v>238</v>
      </c>
      <c r="G186" s="10">
        <v>205</v>
      </c>
      <c r="H186" s="10">
        <v>83</v>
      </c>
      <c r="I186" s="102">
        <v>17015</v>
      </c>
      <c r="J186" s="10" t="s">
        <v>218</v>
      </c>
      <c r="K186" s="9" t="s">
        <v>239</v>
      </c>
      <c r="L186" s="9" t="s">
        <v>240</v>
      </c>
      <c r="M186" s="7"/>
    </row>
    <row r="187" spans="1:13" x14ac:dyDescent="0.45">
      <c r="A187" s="9" t="s">
        <v>245</v>
      </c>
      <c r="B187" s="9" t="s">
        <v>533</v>
      </c>
      <c r="C187" s="9" t="s">
        <v>164</v>
      </c>
      <c r="D187" s="9" t="s">
        <v>534</v>
      </c>
      <c r="E187" s="9" t="s">
        <v>69</v>
      </c>
      <c r="F187" s="10" t="s">
        <v>241</v>
      </c>
      <c r="G187" s="10">
        <v>233</v>
      </c>
      <c r="H187" s="10">
        <v>27</v>
      </c>
      <c r="I187" s="102">
        <v>6291</v>
      </c>
      <c r="J187" s="10" t="s">
        <v>242</v>
      </c>
      <c r="K187" s="9" t="s">
        <v>243</v>
      </c>
      <c r="L187" s="9" t="s">
        <v>244</v>
      </c>
      <c r="M187" s="7"/>
    </row>
    <row r="188" spans="1:13" x14ac:dyDescent="0.45">
      <c r="A188" s="9" t="s">
        <v>245</v>
      </c>
      <c r="B188" s="9" t="s">
        <v>533</v>
      </c>
      <c r="C188" s="9" t="s">
        <v>164</v>
      </c>
      <c r="D188" s="9" t="s">
        <v>534</v>
      </c>
      <c r="E188" s="9" t="s">
        <v>69</v>
      </c>
      <c r="F188" s="10" t="s">
        <v>238</v>
      </c>
      <c r="G188" s="10">
        <v>205</v>
      </c>
      <c r="H188" s="10">
        <v>27</v>
      </c>
      <c r="I188" s="102">
        <v>5535</v>
      </c>
      <c r="J188" s="10" t="s">
        <v>218</v>
      </c>
      <c r="K188" s="9" t="s">
        <v>239</v>
      </c>
      <c r="L188" s="9" t="s">
        <v>240</v>
      </c>
      <c r="M188" s="7"/>
    </row>
    <row r="189" spans="1:13" x14ac:dyDescent="0.45">
      <c r="A189" s="95"/>
      <c r="B189" s="95"/>
      <c r="C189" s="95"/>
      <c r="D189" s="95"/>
      <c r="E189" s="95"/>
      <c r="F189" s="7"/>
      <c r="G189" s="7"/>
      <c r="H189" s="123"/>
      <c r="I189" s="124"/>
      <c r="J189" s="7"/>
      <c r="K189" s="95"/>
      <c r="L189" s="95"/>
      <c r="M189" s="7"/>
    </row>
    <row r="190" spans="1:13" x14ac:dyDescent="0.45">
      <c r="A190" s="95"/>
      <c r="B190" s="95"/>
      <c r="C190" s="95"/>
      <c r="D190" s="95"/>
      <c r="E190" s="95"/>
      <c r="F190" s="7"/>
      <c r="G190" s="7" t="s">
        <v>543</v>
      </c>
      <c r="H190" s="123">
        <f>SUBTOTAL(9,I3:I188)</f>
        <v>3285598</v>
      </c>
      <c r="I190" s="124"/>
      <c r="J190" s="7"/>
      <c r="K190" s="95"/>
      <c r="L190" s="95"/>
      <c r="M190" s="7"/>
    </row>
  </sheetData>
  <sortState ref="A3:M188">
    <sortCondition ref="E3:E188"/>
    <sortCondition ref="A3:A188"/>
    <sortCondition ref="C3:C188"/>
    <sortCondition ref="B3:B188"/>
    <sortCondition ref="F3:F188"/>
  </sortState>
  <mergeCells count="2">
    <mergeCell ref="H190:I190"/>
    <mergeCell ref="H189:I189"/>
  </mergeCells>
  <phoneticPr fontId="3" type="noConversion"/>
  <printOptions horizontalCentered="1"/>
  <pageMargins left="0.19685039370078741" right="0.19685039370078741" top="0.39370078740157483" bottom="0.16" header="0.31496062992125984" footer="0.16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5"/>
  </sheetPr>
  <dimension ref="A1:I103"/>
  <sheetViews>
    <sheetView zoomScaleNormal="100" workbookViewId="0">
      <pane ySplit="2" topLeftCell="A3" activePane="bottomLeft" state="frozen"/>
      <selection activeCell="A2" sqref="A2"/>
      <selection pane="bottomLeft" activeCell="F3" sqref="F3"/>
    </sheetView>
  </sheetViews>
  <sheetFormatPr defaultRowHeight="15.45" x14ac:dyDescent="0.45"/>
  <cols>
    <col min="1" max="1" width="5.41796875" customWidth="1"/>
    <col min="2" max="3" width="21.5234375" style="11" customWidth="1"/>
    <col min="4" max="4" width="8.68359375" style="1" bestFit="1" customWidth="1"/>
    <col min="5" max="5" width="17.41796875" style="12" customWidth="1"/>
    <col min="6" max="6" width="6.89453125" bestFit="1" customWidth="1"/>
    <col min="7" max="7" width="6.89453125" style="1" bestFit="1" customWidth="1"/>
    <col min="8" max="9" width="10.3125" style="6" bestFit="1" customWidth="1"/>
  </cols>
  <sheetData>
    <row r="1" spans="1:9" ht="20.350000000000001" x14ac:dyDescent="0.45">
      <c r="A1" s="24" t="s">
        <v>544</v>
      </c>
      <c r="B1" s="105"/>
      <c r="C1" s="105"/>
      <c r="D1" s="3"/>
      <c r="E1" s="105"/>
      <c r="F1" s="3"/>
      <c r="G1" s="3"/>
      <c r="H1" s="16"/>
      <c r="I1" s="16"/>
    </row>
    <row r="2" spans="1:9" x14ac:dyDescent="0.45">
      <c r="A2" s="97" t="s">
        <v>56</v>
      </c>
      <c r="B2" s="106" t="s">
        <v>57</v>
      </c>
      <c r="C2" s="106" t="s">
        <v>1</v>
      </c>
      <c r="D2" s="97" t="s">
        <v>2</v>
      </c>
      <c r="E2" s="106" t="s">
        <v>3</v>
      </c>
      <c r="F2" s="14" t="s">
        <v>549</v>
      </c>
      <c r="G2" s="97" t="s">
        <v>54</v>
      </c>
      <c r="H2" s="107" t="s">
        <v>540</v>
      </c>
      <c r="I2" s="107" t="s">
        <v>541</v>
      </c>
    </row>
    <row r="3" spans="1:9" x14ac:dyDescent="0.45">
      <c r="A3" s="125" t="s">
        <v>10</v>
      </c>
      <c r="B3" s="103" t="s">
        <v>172</v>
      </c>
      <c r="C3" s="103" t="s">
        <v>173</v>
      </c>
      <c r="D3" s="96" t="s">
        <v>174</v>
      </c>
      <c r="E3" s="104" t="s">
        <v>175</v>
      </c>
      <c r="F3" s="7">
        <v>218</v>
      </c>
      <c r="G3" s="96" t="s">
        <v>60</v>
      </c>
      <c r="H3" s="13">
        <v>62</v>
      </c>
      <c r="I3" s="13">
        <v>13516</v>
      </c>
    </row>
    <row r="4" spans="1:9" x14ac:dyDescent="0.45">
      <c r="A4" s="126"/>
      <c r="B4" s="103" t="s">
        <v>23</v>
      </c>
      <c r="C4" s="103" t="s">
        <v>24</v>
      </c>
      <c r="D4" s="96" t="s">
        <v>25</v>
      </c>
      <c r="E4" s="104" t="s">
        <v>26</v>
      </c>
      <c r="F4" s="7">
        <v>232</v>
      </c>
      <c r="G4" s="96" t="s">
        <v>60</v>
      </c>
      <c r="H4" s="13">
        <v>232</v>
      </c>
      <c r="I4" s="13">
        <v>53824</v>
      </c>
    </row>
    <row r="5" spans="1:9" x14ac:dyDescent="0.45">
      <c r="A5" s="126"/>
      <c r="B5" s="103" t="s">
        <v>119</v>
      </c>
      <c r="C5" s="103" t="s">
        <v>24</v>
      </c>
      <c r="D5" s="96" t="s">
        <v>120</v>
      </c>
      <c r="E5" s="104" t="s">
        <v>121</v>
      </c>
      <c r="F5" s="7">
        <v>248</v>
      </c>
      <c r="G5" s="96" t="s">
        <v>60</v>
      </c>
      <c r="H5" s="13">
        <v>246</v>
      </c>
      <c r="I5" s="13">
        <v>61008</v>
      </c>
    </row>
    <row r="6" spans="1:9" x14ac:dyDescent="0.45">
      <c r="A6" s="126"/>
      <c r="B6" s="103" t="s">
        <v>11</v>
      </c>
      <c r="C6" s="103" t="s">
        <v>12</v>
      </c>
      <c r="D6" s="96" t="s">
        <v>13</v>
      </c>
      <c r="E6" s="104" t="s">
        <v>14</v>
      </c>
      <c r="F6" s="7">
        <v>228</v>
      </c>
      <c r="G6" s="96" t="s">
        <v>60</v>
      </c>
      <c r="H6" s="13">
        <v>154</v>
      </c>
      <c r="I6" s="13">
        <v>35112</v>
      </c>
    </row>
    <row r="7" spans="1:9" x14ac:dyDescent="0.45">
      <c r="A7" s="126"/>
      <c r="B7" s="103" t="s">
        <v>104</v>
      </c>
      <c r="C7" s="103" t="s">
        <v>105</v>
      </c>
      <c r="D7" s="96" t="s">
        <v>106</v>
      </c>
      <c r="E7" s="104" t="s">
        <v>107</v>
      </c>
      <c r="F7" s="7">
        <v>220</v>
      </c>
      <c r="G7" s="96" t="s">
        <v>60</v>
      </c>
      <c r="H7" s="13">
        <v>163</v>
      </c>
      <c r="I7" s="13">
        <v>35860</v>
      </c>
    </row>
    <row r="8" spans="1:9" x14ac:dyDescent="0.45">
      <c r="A8" s="126"/>
      <c r="B8" s="103" t="s">
        <v>182</v>
      </c>
      <c r="C8" s="103" t="s">
        <v>180</v>
      </c>
      <c r="D8" s="96" t="s">
        <v>183</v>
      </c>
      <c r="E8" s="104" t="s">
        <v>184</v>
      </c>
      <c r="F8" s="7">
        <v>168</v>
      </c>
      <c r="G8" s="96" t="s">
        <v>60</v>
      </c>
      <c r="H8" s="13">
        <v>62</v>
      </c>
      <c r="I8" s="13">
        <v>10416</v>
      </c>
    </row>
    <row r="9" spans="1:9" x14ac:dyDescent="0.45">
      <c r="A9" s="126"/>
      <c r="B9" s="103" t="s">
        <v>179</v>
      </c>
      <c r="C9" s="103" t="s">
        <v>180</v>
      </c>
      <c r="D9" s="96" t="s">
        <v>181</v>
      </c>
      <c r="E9" s="104" t="s">
        <v>121</v>
      </c>
      <c r="F9" s="7">
        <v>198</v>
      </c>
      <c r="G9" s="96" t="s">
        <v>60</v>
      </c>
      <c r="H9" s="13">
        <v>79</v>
      </c>
      <c r="I9" s="13">
        <v>15642</v>
      </c>
    </row>
    <row r="10" spans="1:9" x14ac:dyDescent="0.45">
      <c r="A10" s="127"/>
      <c r="B10" s="103" t="s">
        <v>165</v>
      </c>
      <c r="C10" s="103" t="s">
        <v>166</v>
      </c>
      <c r="D10" s="96" t="s">
        <v>167</v>
      </c>
      <c r="E10" s="104" t="s">
        <v>168</v>
      </c>
      <c r="F10" s="7">
        <v>210</v>
      </c>
      <c r="G10" s="96" t="s">
        <v>60</v>
      </c>
      <c r="H10" s="13">
        <v>62</v>
      </c>
      <c r="I10" s="13">
        <v>13020</v>
      </c>
    </row>
    <row r="11" spans="1:9" x14ac:dyDescent="0.45">
      <c r="A11" s="108"/>
      <c r="B11" s="109"/>
      <c r="C11" s="109"/>
      <c r="D11" s="110"/>
      <c r="E11" s="111"/>
      <c r="F11" s="112"/>
      <c r="G11" s="110"/>
      <c r="H11" s="113"/>
      <c r="I11" s="114">
        <v>238398</v>
      </c>
    </row>
    <row r="12" spans="1:9" x14ac:dyDescent="0.45">
      <c r="A12" s="115"/>
      <c r="B12" s="116"/>
      <c r="C12" s="116"/>
      <c r="D12" s="117"/>
      <c r="E12" s="118"/>
      <c r="F12" s="119"/>
      <c r="G12" s="117"/>
      <c r="H12" s="120"/>
      <c r="I12" s="121"/>
    </row>
    <row r="13" spans="1:9" x14ac:dyDescent="0.45">
      <c r="A13" s="128" t="s">
        <v>87</v>
      </c>
      <c r="B13" s="103" t="s">
        <v>98</v>
      </c>
      <c r="C13" s="103" t="s">
        <v>99</v>
      </c>
      <c r="D13" s="96" t="s">
        <v>100</v>
      </c>
      <c r="E13" s="104" t="s">
        <v>101</v>
      </c>
      <c r="F13" s="7">
        <v>331</v>
      </c>
      <c r="G13" s="96" t="s">
        <v>60</v>
      </c>
      <c r="H13" s="13">
        <v>77</v>
      </c>
      <c r="I13" s="13">
        <v>25487</v>
      </c>
    </row>
    <row r="14" spans="1:9" x14ac:dyDescent="0.45">
      <c r="A14" s="128"/>
      <c r="B14" s="103" t="s">
        <v>88</v>
      </c>
      <c r="C14" s="103" t="s">
        <v>89</v>
      </c>
      <c r="D14" s="96" t="s">
        <v>90</v>
      </c>
      <c r="E14" s="104" t="s">
        <v>262</v>
      </c>
      <c r="F14" s="7">
        <v>200</v>
      </c>
      <c r="G14" s="96" t="s">
        <v>60</v>
      </c>
      <c r="H14" s="13">
        <v>159</v>
      </c>
      <c r="I14" s="13">
        <v>31800</v>
      </c>
    </row>
    <row r="15" spans="1:9" x14ac:dyDescent="0.45">
      <c r="A15" s="122"/>
      <c r="B15" s="109"/>
      <c r="C15" s="109"/>
      <c r="D15" s="110"/>
      <c r="E15" s="111"/>
      <c r="F15" s="112"/>
      <c r="G15" s="110"/>
      <c r="H15" s="113"/>
      <c r="I15" s="114">
        <v>57287</v>
      </c>
    </row>
    <row r="16" spans="1:9" x14ac:dyDescent="0.45">
      <c r="A16" s="115"/>
      <c r="B16" s="116"/>
      <c r="C16" s="116"/>
      <c r="D16" s="117"/>
      <c r="E16" s="118"/>
      <c r="F16" s="119"/>
      <c r="G16" s="117"/>
      <c r="H16" s="120"/>
      <c r="I16" s="121"/>
    </row>
    <row r="17" spans="1:9" x14ac:dyDescent="0.45">
      <c r="A17" s="125" t="s">
        <v>161</v>
      </c>
      <c r="B17" s="103" t="s">
        <v>235</v>
      </c>
      <c r="C17" s="103" t="s">
        <v>236</v>
      </c>
      <c r="D17" s="96" t="s">
        <v>90</v>
      </c>
      <c r="E17" s="104" t="s">
        <v>262</v>
      </c>
      <c r="F17" s="7">
        <v>150</v>
      </c>
      <c r="G17" s="96" t="s">
        <v>245</v>
      </c>
      <c r="H17" s="13">
        <v>96</v>
      </c>
      <c r="I17" s="13">
        <v>14400</v>
      </c>
    </row>
    <row r="18" spans="1:9" x14ac:dyDescent="0.45">
      <c r="A18" s="126"/>
      <c r="B18" s="103" t="s">
        <v>47</v>
      </c>
      <c r="C18" s="103" t="s">
        <v>214</v>
      </c>
      <c r="D18" s="96" t="s">
        <v>215</v>
      </c>
      <c r="E18" s="104" t="s">
        <v>216</v>
      </c>
      <c r="F18" s="7">
        <v>160</v>
      </c>
      <c r="G18" s="96" t="s">
        <v>245</v>
      </c>
      <c r="H18" s="13">
        <v>78</v>
      </c>
      <c r="I18" s="13">
        <v>12480</v>
      </c>
    </row>
    <row r="19" spans="1:9" x14ac:dyDescent="0.45">
      <c r="A19" s="126"/>
      <c r="B19" s="129" t="s">
        <v>162</v>
      </c>
      <c r="C19" s="129" t="s">
        <v>163</v>
      </c>
      <c r="D19" s="125" t="s">
        <v>90</v>
      </c>
      <c r="E19" s="131" t="s">
        <v>262</v>
      </c>
      <c r="F19" s="133">
        <v>160</v>
      </c>
      <c r="G19" s="96" t="s">
        <v>60</v>
      </c>
      <c r="H19" s="13">
        <v>545</v>
      </c>
      <c r="I19" s="13">
        <v>87200</v>
      </c>
    </row>
    <row r="20" spans="1:9" x14ac:dyDescent="0.45">
      <c r="A20" s="127"/>
      <c r="B20" s="130"/>
      <c r="C20" s="130"/>
      <c r="D20" s="127"/>
      <c r="E20" s="132"/>
      <c r="F20" s="134"/>
      <c r="G20" s="96" t="s">
        <v>245</v>
      </c>
      <c r="H20" s="13">
        <v>96</v>
      </c>
      <c r="I20" s="13">
        <v>15360</v>
      </c>
    </row>
    <row r="21" spans="1:9" x14ac:dyDescent="0.45">
      <c r="A21" s="108"/>
      <c r="B21" s="109"/>
      <c r="C21" s="109"/>
      <c r="D21" s="110"/>
      <c r="E21" s="111"/>
      <c r="F21" s="112"/>
      <c r="G21" s="110"/>
      <c r="H21" s="113"/>
      <c r="I21" s="114">
        <v>129440</v>
      </c>
    </row>
    <row r="22" spans="1:9" x14ac:dyDescent="0.45">
      <c r="A22" s="115"/>
      <c r="B22" s="116"/>
      <c r="C22" s="116"/>
      <c r="D22" s="117"/>
      <c r="E22" s="118"/>
      <c r="F22" s="119"/>
      <c r="G22" s="117"/>
      <c r="H22" s="120"/>
      <c r="I22" s="121"/>
    </row>
    <row r="23" spans="1:9" x14ac:dyDescent="0.45">
      <c r="A23" s="96" t="s">
        <v>32</v>
      </c>
      <c r="B23" s="103" t="s">
        <v>33</v>
      </c>
      <c r="C23" s="103" t="s">
        <v>34</v>
      </c>
      <c r="D23" s="96" t="s">
        <v>35</v>
      </c>
      <c r="E23" s="104" t="s">
        <v>36</v>
      </c>
      <c r="F23" s="7">
        <v>262</v>
      </c>
      <c r="G23" s="96" t="s">
        <v>60</v>
      </c>
      <c r="H23" s="13">
        <v>154</v>
      </c>
      <c r="I23" s="13">
        <v>40348</v>
      </c>
    </row>
    <row r="24" spans="1:9" x14ac:dyDescent="0.45">
      <c r="A24" s="108"/>
      <c r="B24" s="109"/>
      <c r="C24" s="109"/>
      <c r="D24" s="110"/>
      <c r="E24" s="111"/>
      <c r="F24" s="112"/>
      <c r="G24" s="110"/>
      <c r="H24" s="113"/>
      <c r="I24" s="114">
        <v>40348</v>
      </c>
    </row>
    <row r="25" spans="1:9" x14ac:dyDescent="0.45">
      <c r="A25" s="115"/>
      <c r="B25" s="116"/>
      <c r="C25" s="116"/>
      <c r="D25" s="117"/>
      <c r="E25" s="118"/>
      <c r="F25" s="119"/>
      <c r="G25" s="117"/>
      <c r="H25" s="120"/>
      <c r="I25" s="121"/>
    </row>
    <row r="26" spans="1:9" x14ac:dyDescent="0.45">
      <c r="A26" s="125" t="s">
        <v>46</v>
      </c>
      <c r="B26" s="129" t="s">
        <v>50</v>
      </c>
      <c r="C26" s="129" t="s">
        <v>51</v>
      </c>
      <c r="D26" s="125" t="s">
        <v>52</v>
      </c>
      <c r="E26" s="131" t="s">
        <v>53</v>
      </c>
      <c r="F26" s="133">
        <v>155</v>
      </c>
      <c r="G26" s="96" t="s">
        <v>60</v>
      </c>
      <c r="H26" s="13">
        <v>699</v>
      </c>
      <c r="I26" s="13">
        <v>108345</v>
      </c>
    </row>
    <row r="27" spans="1:9" x14ac:dyDescent="0.45">
      <c r="A27" s="126"/>
      <c r="B27" s="130"/>
      <c r="C27" s="130"/>
      <c r="D27" s="127"/>
      <c r="E27" s="132"/>
      <c r="F27" s="134"/>
      <c r="G27" s="96" t="s">
        <v>245</v>
      </c>
      <c r="H27" s="13">
        <v>78</v>
      </c>
      <c r="I27" s="13">
        <v>12090</v>
      </c>
    </row>
    <row r="28" spans="1:9" x14ac:dyDescent="0.45">
      <c r="A28" s="126"/>
      <c r="B28" s="103" t="s">
        <v>47</v>
      </c>
      <c r="C28" s="103" t="s">
        <v>48</v>
      </c>
      <c r="D28" s="96" t="s">
        <v>49</v>
      </c>
      <c r="E28" s="104" t="s">
        <v>102</v>
      </c>
      <c r="F28" s="7">
        <v>168</v>
      </c>
      <c r="G28" s="96" t="s">
        <v>60</v>
      </c>
      <c r="H28" s="13">
        <v>699</v>
      </c>
      <c r="I28" s="13">
        <v>117432</v>
      </c>
    </row>
    <row r="29" spans="1:9" x14ac:dyDescent="0.45">
      <c r="A29" s="127"/>
      <c r="B29" s="103" t="s">
        <v>192</v>
      </c>
      <c r="C29" s="103" t="s">
        <v>193</v>
      </c>
      <c r="D29" s="96" t="s">
        <v>194</v>
      </c>
      <c r="E29" s="104" t="s">
        <v>195</v>
      </c>
      <c r="F29" s="7">
        <v>125</v>
      </c>
      <c r="G29" s="96" t="s">
        <v>60</v>
      </c>
      <c r="H29" s="13">
        <v>640</v>
      </c>
      <c r="I29" s="13">
        <v>80000</v>
      </c>
    </row>
    <row r="30" spans="1:9" x14ac:dyDescent="0.45">
      <c r="A30" s="108"/>
      <c r="B30" s="109"/>
      <c r="C30" s="109"/>
      <c r="D30" s="110"/>
      <c r="E30" s="111"/>
      <c r="F30" s="112"/>
      <c r="G30" s="110"/>
      <c r="H30" s="113"/>
      <c r="I30" s="114">
        <v>317867</v>
      </c>
    </row>
    <row r="31" spans="1:9" x14ac:dyDescent="0.45">
      <c r="A31" s="115"/>
      <c r="B31" s="116"/>
      <c r="C31" s="116"/>
      <c r="D31" s="117"/>
      <c r="E31" s="118"/>
      <c r="F31" s="119"/>
      <c r="G31" s="117"/>
      <c r="H31" s="120"/>
      <c r="I31" s="121"/>
    </row>
    <row r="32" spans="1:9" x14ac:dyDescent="0.45">
      <c r="A32" s="125" t="s">
        <v>61</v>
      </c>
      <c r="B32" s="103" t="s">
        <v>199</v>
      </c>
      <c r="C32" s="103" t="s">
        <v>200</v>
      </c>
      <c r="D32" s="96" t="s">
        <v>201</v>
      </c>
      <c r="E32" s="104" t="s">
        <v>202</v>
      </c>
      <c r="F32" s="7">
        <v>160</v>
      </c>
      <c r="G32" s="96" t="s">
        <v>245</v>
      </c>
      <c r="H32" s="13">
        <v>78</v>
      </c>
      <c r="I32" s="13">
        <v>12480</v>
      </c>
    </row>
    <row r="33" spans="1:9" x14ac:dyDescent="0.45">
      <c r="A33" s="126"/>
      <c r="B33" s="103" t="s">
        <v>66</v>
      </c>
      <c r="C33" s="103" t="s">
        <v>24</v>
      </c>
      <c r="D33" s="96" t="s">
        <v>67</v>
      </c>
      <c r="E33" s="104" t="s">
        <v>68</v>
      </c>
      <c r="F33" s="7">
        <v>210</v>
      </c>
      <c r="G33" s="96" t="s">
        <v>60</v>
      </c>
      <c r="H33" s="13">
        <v>467</v>
      </c>
      <c r="I33" s="13">
        <v>98070</v>
      </c>
    </row>
    <row r="34" spans="1:9" x14ac:dyDescent="0.45">
      <c r="A34" s="126"/>
      <c r="B34" s="103" t="s">
        <v>176</v>
      </c>
      <c r="C34" s="103" t="s">
        <v>24</v>
      </c>
      <c r="D34" s="96" t="s">
        <v>177</v>
      </c>
      <c r="E34" s="104" t="s">
        <v>178</v>
      </c>
      <c r="F34" s="7">
        <v>240</v>
      </c>
      <c r="G34" s="96" t="s">
        <v>60</v>
      </c>
      <c r="H34" s="13">
        <v>422</v>
      </c>
      <c r="I34" s="13">
        <v>101280</v>
      </c>
    </row>
    <row r="35" spans="1:9" x14ac:dyDescent="0.45">
      <c r="A35" s="126"/>
      <c r="B35" s="103" t="s">
        <v>122</v>
      </c>
      <c r="C35" s="103" t="s">
        <v>24</v>
      </c>
      <c r="D35" s="96" t="s">
        <v>123</v>
      </c>
      <c r="E35" s="104" t="s">
        <v>124</v>
      </c>
      <c r="F35" s="7">
        <v>230</v>
      </c>
      <c r="G35" s="96" t="s">
        <v>60</v>
      </c>
      <c r="H35" s="13">
        <v>464</v>
      </c>
      <c r="I35" s="13">
        <v>106720</v>
      </c>
    </row>
    <row r="36" spans="1:9" x14ac:dyDescent="0.45">
      <c r="A36" s="126"/>
      <c r="B36" s="129" t="s">
        <v>62</v>
      </c>
      <c r="C36" s="129" t="s">
        <v>63</v>
      </c>
      <c r="D36" s="125" t="s">
        <v>64</v>
      </c>
      <c r="E36" s="131" t="s">
        <v>65</v>
      </c>
      <c r="F36" s="133">
        <v>240</v>
      </c>
      <c r="G36" s="96" t="s">
        <v>60</v>
      </c>
      <c r="H36" s="13">
        <v>545</v>
      </c>
      <c r="I36" s="13">
        <v>130800</v>
      </c>
    </row>
    <row r="37" spans="1:9" x14ac:dyDescent="0.45">
      <c r="A37" s="126"/>
      <c r="B37" s="130"/>
      <c r="C37" s="130"/>
      <c r="D37" s="127"/>
      <c r="E37" s="132"/>
      <c r="F37" s="134"/>
      <c r="G37" s="96" t="s">
        <v>245</v>
      </c>
      <c r="H37" s="13">
        <v>78</v>
      </c>
      <c r="I37" s="13">
        <v>18720</v>
      </c>
    </row>
    <row r="38" spans="1:9" x14ac:dyDescent="0.45">
      <c r="A38" s="127"/>
      <c r="B38" s="103" t="s">
        <v>210</v>
      </c>
      <c r="C38" s="103" t="s">
        <v>211</v>
      </c>
      <c r="D38" s="96" t="s">
        <v>212</v>
      </c>
      <c r="E38" s="104" t="s">
        <v>213</v>
      </c>
      <c r="F38" s="7">
        <v>210</v>
      </c>
      <c r="G38" s="96" t="s">
        <v>245</v>
      </c>
      <c r="H38" s="13">
        <v>98</v>
      </c>
      <c r="I38" s="13">
        <v>20580</v>
      </c>
    </row>
    <row r="39" spans="1:9" x14ac:dyDescent="0.45">
      <c r="A39" s="108"/>
      <c r="B39" s="109"/>
      <c r="C39" s="109"/>
      <c r="D39" s="110"/>
      <c r="E39" s="111"/>
      <c r="F39" s="112"/>
      <c r="G39" s="110"/>
      <c r="H39" s="113"/>
      <c r="I39" s="114">
        <v>488650</v>
      </c>
    </row>
    <row r="40" spans="1:9" x14ac:dyDescent="0.45">
      <c r="A40" s="115"/>
      <c r="B40" s="116"/>
      <c r="C40" s="116"/>
      <c r="D40" s="117"/>
      <c r="E40" s="118"/>
      <c r="F40" s="119"/>
      <c r="G40" s="117"/>
      <c r="H40" s="120"/>
      <c r="I40" s="121"/>
    </row>
    <row r="41" spans="1:9" x14ac:dyDescent="0.45">
      <c r="A41" s="125" t="s">
        <v>74</v>
      </c>
      <c r="B41" s="129" t="s">
        <v>83</v>
      </c>
      <c r="C41" s="129" t="s">
        <v>84</v>
      </c>
      <c r="D41" s="125" t="s">
        <v>85</v>
      </c>
      <c r="E41" s="131" t="s">
        <v>86</v>
      </c>
      <c r="F41" s="133">
        <v>200</v>
      </c>
      <c r="G41" s="96" t="s">
        <v>60</v>
      </c>
      <c r="H41" s="13">
        <v>468</v>
      </c>
      <c r="I41" s="13">
        <v>93600</v>
      </c>
    </row>
    <row r="42" spans="1:9" x14ac:dyDescent="0.45">
      <c r="A42" s="126"/>
      <c r="B42" s="130"/>
      <c r="C42" s="130"/>
      <c r="D42" s="127"/>
      <c r="E42" s="132"/>
      <c r="F42" s="134"/>
      <c r="G42" s="96" t="s">
        <v>245</v>
      </c>
      <c r="H42" s="13">
        <v>78</v>
      </c>
      <c r="I42" s="13">
        <v>15600</v>
      </c>
    </row>
    <row r="43" spans="1:9" x14ac:dyDescent="0.45">
      <c r="A43" s="126"/>
      <c r="B43" s="103" t="s">
        <v>75</v>
      </c>
      <c r="C43" s="103" t="s">
        <v>519</v>
      </c>
      <c r="D43" s="96" t="s">
        <v>76</v>
      </c>
      <c r="E43" s="104" t="s">
        <v>77</v>
      </c>
      <c r="F43" s="7">
        <v>200</v>
      </c>
      <c r="G43" s="96" t="s">
        <v>60</v>
      </c>
      <c r="H43" s="13">
        <v>390</v>
      </c>
      <c r="I43" s="13">
        <v>78000</v>
      </c>
    </row>
    <row r="44" spans="1:9" x14ac:dyDescent="0.45">
      <c r="A44" s="126"/>
      <c r="B44" s="103" t="s">
        <v>150</v>
      </c>
      <c r="C44" s="103" t="s">
        <v>151</v>
      </c>
      <c r="D44" s="96" t="s">
        <v>152</v>
      </c>
      <c r="E44" s="104" t="s">
        <v>153</v>
      </c>
      <c r="F44" s="7">
        <v>250</v>
      </c>
      <c r="G44" s="96" t="s">
        <v>60</v>
      </c>
      <c r="H44" s="13">
        <v>388</v>
      </c>
      <c r="I44" s="13">
        <v>97000</v>
      </c>
    </row>
    <row r="45" spans="1:9" x14ac:dyDescent="0.45">
      <c r="A45" s="127"/>
      <c r="B45" s="103" t="s">
        <v>141</v>
      </c>
      <c r="C45" s="103" t="s">
        <v>142</v>
      </c>
      <c r="D45" s="96" t="s">
        <v>143</v>
      </c>
      <c r="E45" s="104" t="s">
        <v>144</v>
      </c>
      <c r="F45" s="7">
        <v>185</v>
      </c>
      <c r="G45" s="96" t="s">
        <v>60</v>
      </c>
      <c r="H45" s="13">
        <v>547</v>
      </c>
      <c r="I45" s="13">
        <v>101195</v>
      </c>
    </row>
    <row r="46" spans="1:9" x14ac:dyDescent="0.45">
      <c r="A46" s="108"/>
      <c r="B46" s="109"/>
      <c r="C46" s="109"/>
      <c r="D46" s="110"/>
      <c r="E46" s="111"/>
      <c r="F46" s="112"/>
      <c r="G46" s="110"/>
      <c r="H46" s="113"/>
      <c r="I46" s="114">
        <v>385395</v>
      </c>
    </row>
    <row r="47" spans="1:9" x14ac:dyDescent="0.45">
      <c r="A47" s="115"/>
      <c r="B47" s="116"/>
      <c r="C47" s="116"/>
      <c r="D47" s="117"/>
      <c r="E47" s="118"/>
      <c r="F47" s="119"/>
      <c r="G47" s="117"/>
      <c r="H47" s="120"/>
      <c r="I47" s="121"/>
    </row>
    <row r="48" spans="1:9" x14ac:dyDescent="0.45">
      <c r="A48" s="125" t="s">
        <v>27</v>
      </c>
      <c r="B48" s="103" t="s">
        <v>28</v>
      </c>
      <c r="C48" s="103" t="s">
        <v>29</v>
      </c>
      <c r="D48" s="96" t="s">
        <v>30</v>
      </c>
      <c r="E48" s="104" t="s">
        <v>31</v>
      </c>
      <c r="F48" s="7">
        <v>185</v>
      </c>
      <c r="G48" s="96" t="s">
        <v>60</v>
      </c>
      <c r="H48" s="13">
        <v>154</v>
      </c>
      <c r="I48" s="13">
        <v>28490</v>
      </c>
    </row>
    <row r="49" spans="1:9" x14ac:dyDescent="0.45">
      <c r="A49" s="126"/>
      <c r="B49" s="103" t="s">
        <v>125</v>
      </c>
      <c r="C49" s="103" t="s">
        <v>29</v>
      </c>
      <c r="D49" s="96" t="s">
        <v>126</v>
      </c>
      <c r="E49" s="104" t="s">
        <v>127</v>
      </c>
      <c r="F49" s="7">
        <v>231</v>
      </c>
      <c r="G49" s="96" t="s">
        <v>60</v>
      </c>
      <c r="H49" s="13">
        <v>164</v>
      </c>
      <c r="I49" s="13">
        <v>37884</v>
      </c>
    </row>
    <row r="50" spans="1:9" x14ac:dyDescent="0.45">
      <c r="A50" s="127"/>
      <c r="B50" s="103" t="s">
        <v>133</v>
      </c>
      <c r="C50" s="103" t="s">
        <v>134</v>
      </c>
      <c r="D50" s="96" t="s">
        <v>135</v>
      </c>
      <c r="E50" s="104" t="s">
        <v>136</v>
      </c>
      <c r="F50" s="7">
        <v>209</v>
      </c>
      <c r="G50" s="96" t="s">
        <v>60</v>
      </c>
      <c r="H50" s="13">
        <v>104</v>
      </c>
      <c r="I50" s="13">
        <v>21736</v>
      </c>
    </row>
    <row r="51" spans="1:9" x14ac:dyDescent="0.45">
      <c r="A51" s="108"/>
      <c r="B51" s="109"/>
      <c r="C51" s="109"/>
      <c r="D51" s="110"/>
      <c r="E51" s="111"/>
      <c r="F51" s="112"/>
      <c r="G51" s="110"/>
      <c r="H51" s="113"/>
      <c r="I51" s="114">
        <v>88110</v>
      </c>
    </row>
    <row r="52" spans="1:9" x14ac:dyDescent="0.45">
      <c r="A52" s="115"/>
      <c r="B52" s="116"/>
      <c r="C52" s="116"/>
      <c r="D52" s="117"/>
      <c r="E52" s="118"/>
      <c r="F52" s="119"/>
      <c r="G52" s="117"/>
      <c r="H52" s="120"/>
      <c r="I52" s="121"/>
    </row>
    <row r="53" spans="1:9" x14ac:dyDescent="0.45">
      <c r="A53" s="125" t="s">
        <v>542</v>
      </c>
      <c r="B53" s="103" t="s">
        <v>129</v>
      </c>
      <c r="C53" s="103" t="s">
        <v>130</v>
      </c>
      <c r="D53" s="96" t="s">
        <v>131</v>
      </c>
      <c r="E53" s="104" t="s">
        <v>132</v>
      </c>
      <c r="F53" s="7">
        <v>125</v>
      </c>
      <c r="G53" s="96" t="s">
        <v>60</v>
      </c>
      <c r="H53" s="13">
        <v>104</v>
      </c>
      <c r="I53" s="13">
        <v>13000</v>
      </c>
    </row>
    <row r="54" spans="1:9" x14ac:dyDescent="0.45">
      <c r="A54" s="126"/>
      <c r="B54" s="103" t="s">
        <v>189</v>
      </c>
      <c r="C54" s="103" t="s">
        <v>130</v>
      </c>
      <c r="D54" s="96" t="s">
        <v>190</v>
      </c>
      <c r="E54" s="104" t="s">
        <v>191</v>
      </c>
      <c r="F54" s="7">
        <v>125</v>
      </c>
      <c r="G54" s="96" t="s">
        <v>60</v>
      </c>
      <c r="H54" s="13">
        <v>79</v>
      </c>
      <c r="I54" s="13">
        <v>9875</v>
      </c>
    </row>
    <row r="55" spans="1:9" x14ac:dyDescent="0.45">
      <c r="A55" s="127"/>
      <c r="B55" s="103" t="s">
        <v>157</v>
      </c>
      <c r="C55" s="103" t="s">
        <v>158</v>
      </c>
      <c r="D55" s="96" t="s">
        <v>159</v>
      </c>
      <c r="E55" s="104" t="s">
        <v>160</v>
      </c>
      <c r="F55" s="7">
        <v>140</v>
      </c>
      <c r="G55" s="96" t="s">
        <v>60</v>
      </c>
      <c r="H55" s="13">
        <v>712</v>
      </c>
      <c r="I55" s="13">
        <v>99680</v>
      </c>
    </row>
    <row r="56" spans="1:9" x14ac:dyDescent="0.45">
      <c r="A56" s="108"/>
      <c r="B56" s="109"/>
      <c r="C56" s="109"/>
      <c r="D56" s="110"/>
      <c r="E56" s="111"/>
      <c r="F56" s="112"/>
      <c r="G56" s="110"/>
      <c r="H56" s="113"/>
      <c r="I56" s="114">
        <v>122555</v>
      </c>
    </row>
    <row r="57" spans="1:9" x14ac:dyDescent="0.45">
      <c r="A57" s="115"/>
      <c r="B57" s="116"/>
      <c r="C57" s="116"/>
      <c r="D57" s="117"/>
      <c r="E57" s="118"/>
      <c r="F57" s="119"/>
      <c r="G57" s="117"/>
      <c r="H57" s="120"/>
      <c r="I57" s="121"/>
    </row>
    <row r="58" spans="1:9" x14ac:dyDescent="0.45">
      <c r="A58" s="125" t="s">
        <v>78</v>
      </c>
      <c r="B58" s="103" t="s">
        <v>145</v>
      </c>
      <c r="C58" s="103" t="s">
        <v>146</v>
      </c>
      <c r="D58" s="96" t="s">
        <v>90</v>
      </c>
      <c r="E58" s="104" t="s">
        <v>262</v>
      </c>
      <c r="F58" s="7">
        <v>230</v>
      </c>
      <c r="G58" s="96" t="s">
        <v>60</v>
      </c>
      <c r="H58" s="13">
        <v>155</v>
      </c>
      <c r="I58" s="13">
        <v>35650</v>
      </c>
    </row>
    <row r="59" spans="1:9" x14ac:dyDescent="0.45">
      <c r="A59" s="126"/>
      <c r="B59" s="103" t="s">
        <v>75</v>
      </c>
      <c r="C59" s="103" t="s">
        <v>207</v>
      </c>
      <c r="D59" s="96" t="s">
        <v>208</v>
      </c>
      <c r="E59" s="104" t="s">
        <v>209</v>
      </c>
      <c r="F59" s="7">
        <v>230</v>
      </c>
      <c r="G59" s="96" t="s">
        <v>245</v>
      </c>
      <c r="H59" s="13">
        <v>78</v>
      </c>
      <c r="I59" s="13">
        <v>17940</v>
      </c>
    </row>
    <row r="60" spans="1:9" x14ac:dyDescent="0.45">
      <c r="A60" s="126"/>
      <c r="B60" s="103" t="s">
        <v>79</v>
      </c>
      <c r="C60" s="103" t="s">
        <v>80</v>
      </c>
      <c r="D60" s="96" t="s">
        <v>81</v>
      </c>
      <c r="E60" s="104" t="s">
        <v>82</v>
      </c>
      <c r="F60" s="7">
        <v>230</v>
      </c>
      <c r="G60" s="96" t="s">
        <v>60</v>
      </c>
      <c r="H60" s="13">
        <v>390</v>
      </c>
      <c r="I60" s="13">
        <v>89700</v>
      </c>
    </row>
    <row r="61" spans="1:9" x14ac:dyDescent="0.45">
      <c r="A61" s="126"/>
      <c r="B61" s="103" t="s">
        <v>228</v>
      </c>
      <c r="C61" s="103" t="s">
        <v>229</v>
      </c>
      <c r="D61" s="96" t="s">
        <v>230</v>
      </c>
      <c r="E61" s="104" t="s">
        <v>231</v>
      </c>
      <c r="F61" s="7">
        <v>230</v>
      </c>
      <c r="G61" s="96" t="s">
        <v>245</v>
      </c>
      <c r="H61" s="13">
        <v>96</v>
      </c>
      <c r="I61" s="13">
        <v>22080</v>
      </c>
    </row>
    <row r="62" spans="1:9" x14ac:dyDescent="0.45">
      <c r="A62" s="127"/>
      <c r="B62" s="103" t="s">
        <v>147</v>
      </c>
      <c r="C62" s="103" t="s">
        <v>148</v>
      </c>
      <c r="D62" s="96" t="s">
        <v>149</v>
      </c>
      <c r="E62" s="104" t="s">
        <v>262</v>
      </c>
      <c r="F62" s="7">
        <v>335</v>
      </c>
      <c r="G62" s="96" t="s">
        <v>60</v>
      </c>
      <c r="H62" s="13">
        <v>306</v>
      </c>
      <c r="I62" s="13">
        <v>102510</v>
      </c>
    </row>
    <row r="63" spans="1:9" x14ac:dyDescent="0.45">
      <c r="A63" s="108"/>
      <c r="B63" s="109"/>
      <c r="C63" s="109"/>
      <c r="D63" s="110"/>
      <c r="E63" s="111"/>
      <c r="F63" s="112"/>
      <c r="G63" s="110"/>
      <c r="H63" s="113"/>
      <c r="I63" s="114">
        <v>267880</v>
      </c>
    </row>
    <row r="64" spans="1:9" x14ac:dyDescent="0.45">
      <c r="A64" s="115"/>
      <c r="B64" s="116"/>
      <c r="C64" s="116"/>
      <c r="D64" s="117"/>
      <c r="E64" s="118"/>
      <c r="F64" s="119"/>
      <c r="G64" s="117"/>
      <c r="H64" s="120"/>
      <c r="I64" s="121"/>
    </row>
    <row r="65" spans="1:9" x14ac:dyDescent="0.45">
      <c r="A65" s="125" t="s">
        <v>196</v>
      </c>
      <c r="B65" s="129" t="s">
        <v>197</v>
      </c>
      <c r="C65" s="129" t="s">
        <v>198</v>
      </c>
      <c r="D65" s="125" t="s">
        <v>90</v>
      </c>
      <c r="E65" s="131" t="s">
        <v>262</v>
      </c>
      <c r="F65" s="133">
        <v>145</v>
      </c>
      <c r="G65" s="96" t="s">
        <v>60</v>
      </c>
      <c r="H65" s="13">
        <v>627</v>
      </c>
      <c r="I65" s="13">
        <v>90915</v>
      </c>
    </row>
    <row r="66" spans="1:9" x14ac:dyDescent="0.45">
      <c r="A66" s="127"/>
      <c r="B66" s="130"/>
      <c r="C66" s="130"/>
      <c r="D66" s="127"/>
      <c r="E66" s="132"/>
      <c r="F66" s="134"/>
      <c r="G66" s="96" t="s">
        <v>245</v>
      </c>
      <c r="H66" s="13">
        <v>110</v>
      </c>
      <c r="I66" s="13">
        <v>15950</v>
      </c>
    </row>
    <row r="67" spans="1:9" x14ac:dyDescent="0.45">
      <c r="A67" s="108"/>
      <c r="B67" s="109"/>
      <c r="C67" s="109"/>
      <c r="D67" s="110"/>
      <c r="E67" s="111"/>
      <c r="F67" s="112"/>
      <c r="G67" s="110"/>
      <c r="H67" s="113"/>
      <c r="I67" s="114">
        <v>106865</v>
      </c>
    </row>
    <row r="68" spans="1:9" x14ac:dyDescent="0.45">
      <c r="A68" s="115"/>
      <c r="B68" s="116"/>
      <c r="C68" s="116"/>
      <c r="D68" s="117"/>
      <c r="E68" s="118"/>
      <c r="F68" s="119"/>
      <c r="G68" s="117"/>
      <c r="H68" s="120"/>
      <c r="I68" s="121"/>
    </row>
    <row r="69" spans="1:9" x14ac:dyDescent="0.45">
      <c r="A69" s="96" t="s">
        <v>41</v>
      </c>
      <c r="B69" s="103" t="s">
        <v>42</v>
      </c>
      <c r="C69" s="103" t="s">
        <v>43</v>
      </c>
      <c r="D69" s="96" t="s">
        <v>44</v>
      </c>
      <c r="E69" s="104" t="s">
        <v>45</v>
      </c>
      <c r="F69" s="7">
        <v>141</v>
      </c>
      <c r="G69" s="96" t="s">
        <v>60</v>
      </c>
      <c r="H69" s="13">
        <v>699</v>
      </c>
      <c r="I69" s="13">
        <f>H69*F69</f>
        <v>98559</v>
      </c>
    </row>
    <row r="70" spans="1:9" x14ac:dyDescent="0.45">
      <c r="A70" s="108"/>
      <c r="B70" s="109"/>
      <c r="C70" s="109"/>
      <c r="D70" s="110"/>
      <c r="E70" s="111"/>
      <c r="F70" s="112"/>
      <c r="G70" s="110"/>
      <c r="H70" s="113"/>
      <c r="I70" s="114">
        <v>98559</v>
      </c>
    </row>
    <row r="71" spans="1:9" x14ac:dyDescent="0.45">
      <c r="A71" s="115"/>
      <c r="B71" s="116"/>
      <c r="C71" s="116"/>
      <c r="D71" s="117"/>
      <c r="E71" s="118"/>
      <c r="F71" s="119"/>
      <c r="G71" s="117"/>
      <c r="H71" s="120"/>
      <c r="I71" s="121"/>
    </row>
    <row r="72" spans="1:9" x14ac:dyDescent="0.45">
      <c r="A72" s="125" t="s">
        <v>93</v>
      </c>
      <c r="B72" s="129" t="s">
        <v>94</v>
      </c>
      <c r="C72" s="129" t="s">
        <v>95</v>
      </c>
      <c r="D72" s="125" t="s">
        <v>96</v>
      </c>
      <c r="E72" s="131" t="s">
        <v>97</v>
      </c>
      <c r="F72" s="133">
        <v>278</v>
      </c>
      <c r="G72" s="96" t="s">
        <v>60</v>
      </c>
      <c r="H72" s="13">
        <v>468</v>
      </c>
      <c r="I72" s="13">
        <v>130104</v>
      </c>
    </row>
    <row r="73" spans="1:9" x14ac:dyDescent="0.45">
      <c r="A73" s="126"/>
      <c r="B73" s="130"/>
      <c r="C73" s="130"/>
      <c r="D73" s="127"/>
      <c r="E73" s="132"/>
      <c r="F73" s="134"/>
      <c r="G73" s="96" t="s">
        <v>245</v>
      </c>
      <c r="H73" s="13">
        <v>78</v>
      </c>
      <c r="I73" s="13">
        <v>21684</v>
      </c>
    </row>
    <row r="74" spans="1:9" x14ac:dyDescent="0.45">
      <c r="A74" s="126"/>
      <c r="B74" s="129" t="s">
        <v>154</v>
      </c>
      <c r="C74" s="129" t="s">
        <v>95</v>
      </c>
      <c r="D74" s="125" t="s">
        <v>155</v>
      </c>
      <c r="E74" s="131" t="s">
        <v>156</v>
      </c>
      <c r="F74" s="133">
        <v>278</v>
      </c>
      <c r="G74" s="96" t="s">
        <v>60</v>
      </c>
      <c r="H74" s="13">
        <v>469</v>
      </c>
      <c r="I74" s="13">
        <v>130382</v>
      </c>
    </row>
    <row r="75" spans="1:9" x14ac:dyDescent="0.45">
      <c r="A75" s="126"/>
      <c r="B75" s="130"/>
      <c r="C75" s="130"/>
      <c r="D75" s="127"/>
      <c r="E75" s="132"/>
      <c r="F75" s="134"/>
      <c r="G75" s="96" t="s">
        <v>245</v>
      </c>
      <c r="H75" s="13">
        <v>96</v>
      </c>
      <c r="I75" s="13">
        <v>26688</v>
      </c>
    </row>
    <row r="76" spans="1:9" x14ac:dyDescent="0.45">
      <c r="A76" s="127"/>
      <c r="B76" s="103" t="s">
        <v>150</v>
      </c>
      <c r="C76" s="103" t="s">
        <v>232</v>
      </c>
      <c r="D76" s="96" t="s">
        <v>233</v>
      </c>
      <c r="E76" s="104" t="s">
        <v>234</v>
      </c>
      <c r="F76" s="7">
        <v>280</v>
      </c>
      <c r="G76" s="96" t="s">
        <v>245</v>
      </c>
      <c r="H76" s="13">
        <v>96</v>
      </c>
      <c r="I76" s="13">
        <v>26880</v>
      </c>
    </row>
    <row r="77" spans="1:9" x14ac:dyDescent="0.45">
      <c r="A77" s="108"/>
      <c r="B77" s="109"/>
      <c r="C77" s="109"/>
      <c r="D77" s="110"/>
      <c r="E77" s="111"/>
      <c r="F77" s="112"/>
      <c r="G77" s="110"/>
      <c r="H77" s="113"/>
      <c r="I77" s="114">
        <v>335738</v>
      </c>
    </row>
    <row r="78" spans="1:9" x14ac:dyDescent="0.45">
      <c r="A78" s="115"/>
      <c r="B78" s="116"/>
      <c r="C78" s="116"/>
      <c r="D78" s="117"/>
      <c r="E78" s="118"/>
      <c r="F78" s="119"/>
      <c r="G78" s="117"/>
      <c r="H78" s="120"/>
      <c r="I78" s="121"/>
    </row>
    <row r="79" spans="1:9" x14ac:dyDescent="0.45">
      <c r="A79" s="125" t="s">
        <v>5</v>
      </c>
      <c r="B79" s="103" t="s">
        <v>19</v>
      </c>
      <c r="C79" s="103" t="s">
        <v>20</v>
      </c>
      <c r="D79" s="96" t="s">
        <v>21</v>
      </c>
      <c r="E79" s="104" t="s">
        <v>22</v>
      </c>
      <c r="F79" s="7">
        <v>206</v>
      </c>
      <c r="G79" s="96" t="s">
        <v>60</v>
      </c>
      <c r="H79" s="13">
        <v>154</v>
      </c>
      <c r="I79" s="13">
        <v>31724</v>
      </c>
    </row>
    <row r="80" spans="1:9" x14ac:dyDescent="0.45">
      <c r="A80" s="126"/>
      <c r="B80" s="103" t="s">
        <v>15</v>
      </c>
      <c r="C80" s="103" t="s">
        <v>16</v>
      </c>
      <c r="D80" s="96" t="s">
        <v>17</v>
      </c>
      <c r="E80" s="104" t="s">
        <v>18</v>
      </c>
      <c r="F80" s="7">
        <v>215</v>
      </c>
      <c r="G80" s="96" t="s">
        <v>60</v>
      </c>
      <c r="H80" s="13">
        <v>154</v>
      </c>
      <c r="I80" s="13">
        <v>33110</v>
      </c>
    </row>
    <row r="81" spans="1:9" x14ac:dyDescent="0.45">
      <c r="A81" s="126"/>
      <c r="B81" s="103" t="s">
        <v>6</v>
      </c>
      <c r="C81" s="103" t="s">
        <v>7</v>
      </c>
      <c r="D81" s="96" t="s">
        <v>8</v>
      </c>
      <c r="E81" s="104" t="s">
        <v>9</v>
      </c>
      <c r="F81" s="7">
        <v>195</v>
      </c>
      <c r="G81" s="96" t="s">
        <v>60</v>
      </c>
      <c r="H81" s="13">
        <v>154</v>
      </c>
      <c r="I81" s="13">
        <v>30030</v>
      </c>
    </row>
    <row r="82" spans="1:9" x14ac:dyDescent="0.45">
      <c r="A82" s="126"/>
      <c r="B82" s="103" t="s">
        <v>116</v>
      </c>
      <c r="C82" s="103" t="s">
        <v>7</v>
      </c>
      <c r="D82" s="96" t="s">
        <v>117</v>
      </c>
      <c r="E82" s="104" t="s">
        <v>118</v>
      </c>
      <c r="F82" s="7">
        <v>199</v>
      </c>
      <c r="G82" s="96" t="s">
        <v>60</v>
      </c>
      <c r="H82" s="13">
        <v>548</v>
      </c>
      <c r="I82" s="13">
        <v>109052</v>
      </c>
    </row>
    <row r="83" spans="1:9" x14ac:dyDescent="0.45">
      <c r="A83" s="127"/>
      <c r="B83" s="103" t="s">
        <v>37</v>
      </c>
      <c r="C83" s="103" t="s">
        <v>38</v>
      </c>
      <c r="D83" s="96" t="s">
        <v>39</v>
      </c>
      <c r="E83" s="104" t="s">
        <v>40</v>
      </c>
      <c r="F83" s="7">
        <v>218</v>
      </c>
      <c r="G83" s="96" t="s">
        <v>60</v>
      </c>
      <c r="H83" s="13">
        <v>78</v>
      </c>
      <c r="I83" s="13">
        <v>17004</v>
      </c>
    </row>
    <row r="84" spans="1:9" x14ac:dyDescent="0.45">
      <c r="A84" s="108"/>
      <c r="B84" s="109"/>
      <c r="C84" s="109"/>
      <c r="D84" s="110"/>
      <c r="E84" s="111"/>
      <c r="F84" s="112"/>
      <c r="G84" s="110"/>
      <c r="H84" s="113"/>
      <c r="I84" s="114">
        <v>220920</v>
      </c>
    </row>
    <row r="85" spans="1:9" x14ac:dyDescent="0.45">
      <c r="A85" s="115"/>
      <c r="B85" s="116"/>
      <c r="C85" s="116"/>
      <c r="D85" s="117"/>
      <c r="E85" s="118"/>
      <c r="F85" s="119"/>
      <c r="G85" s="117"/>
      <c r="H85" s="120"/>
      <c r="I85" s="121"/>
    </row>
    <row r="86" spans="1:9" x14ac:dyDescent="0.45">
      <c r="A86" s="125" t="s">
        <v>69</v>
      </c>
      <c r="B86" s="103" t="s">
        <v>112</v>
      </c>
      <c r="C86" s="103" t="s">
        <v>113</v>
      </c>
      <c r="D86" s="96" t="s">
        <v>114</v>
      </c>
      <c r="E86" s="104" t="s">
        <v>115</v>
      </c>
      <c r="F86" s="7">
        <v>228</v>
      </c>
      <c r="G86" s="96" t="s">
        <v>60</v>
      </c>
      <c r="H86" s="13">
        <v>163</v>
      </c>
      <c r="I86" s="13">
        <v>37164</v>
      </c>
    </row>
    <row r="87" spans="1:9" x14ac:dyDescent="0.45">
      <c r="A87" s="126"/>
      <c r="B87" s="103" t="s">
        <v>241</v>
      </c>
      <c r="C87" s="103" t="s">
        <v>242</v>
      </c>
      <c r="D87" s="96" t="s">
        <v>243</v>
      </c>
      <c r="E87" s="104" t="s">
        <v>244</v>
      </c>
      <c r="F87" s="7">
        <v>233</v>
      </c>
      <c r="G87" s="96" t="s">
        <v>245</v>
      </c>
      <c r="H87" s="13">
        <v>110</v>
      </c>
      <c r="I87" s="13">
        <v>25630</v>
      </c>
    </row>
    <row r="88" spans="1:9" x14ac:dyDescent="0.45">
      <c r="A88" s="126"/>
      <c r="B88" s="103" t="s">
        <v>108</v>
      </c>
      <c r="C88" s="103" t="s">
        <v>109</v>
      </c>
      <c r="D88" s="96" t="s">
        <v>110</v>
      </c>
      <c r="E88" s="104" t="s">
        <v>111</v>
      </c>
      <c r="F88" s="7">
        <v>249</v>
      </c>
      <c r="G88" s="96" t="s">
        <v>60</v>
      </c>
      <c r="H88" s="13">
        <v>60</v>
      </c>
      <c r="I88" s="13">
        <v>14940</v>
      </c>
    </row>
    <row r="89" spans="1:9" x14ac:dyDescent="0.45">
      <c r="A89" s="126"/>
      <c r="B89" s="103" t="s">
        <v>221</v>
      </c>
      <c r="C89" s="103" t="s">
        <v>222</v>
      </c>
      <c r="D89" s="96" t="s">
        <v>223</v>
      </c>
      <c r="E89" s="104" t="s">
        <v>224</v>
      </c>
      <c r="F89" s="7">
        <v>218</v>
      </c>
      <c r="G89" s="96" t="s">
        <v>245</v>
      </c>
      <c r="H89" s="13">
        <v>96</v>
      </c>
      <c r="I89" s="13">
        <v>20928</v>
      </c>
    </row>
    <row r="90" spans="1:9" x14ac:dyDescent="0.45">
      <c r="A90" s="126"/>
      <c r="B90" s="103" t="s">
        <v>238</v>
      </c>
      <c r="C90" s="103" t="s">
        <v>218</v>
      </c>
      <c r="D90" s="96" t="s">
        <v>239</v>
      </c>
      <c r="E90" s="104" t="s">
        <v>240</v>
      </c>
      <c r="F90" s="7">
        <v>205</v>
      </c>
      <c r="G90" s="96" t="s">
        <v>245</v>
      </c>
      <c r="H90" s="13">
        <v>110</v>
      </c>
      <c r="I90" s="13">
        <v>22550</v>
      </c>
    </row>
    <row r="91" spans="1:9" x14ac:dyDescent="0.45">
      <c r="A91" s="126"/>
      <c r="B91" s="103" t="s">
        <v>116</v>
      </c>
      <c r="C91" s="103" t="s">
        <v>218</v>
      </c>
      <c r="D91" s="96" t="s">
        <v>219</v>
      </c>
      <c r="E91" s="104" t="s">
        <v>220</v>
      </c>
      <c r="F91" s="7">
        <v>205</v>
      </c>
      <c r="G91" s="96" t="s">
        <v>245</v>
      </c>
      <c r="H91" s="13">
        <v>96</v>
      </c>
      <c r="I91" s="13">
        <v>19680</v>
      </c>
    </row>
    <row r="92" spans="1:9" x14ac:dyDescent="0.45">
      <c r="A92" s="126"/>
      <c r="B92" s="103" t="s">
        <v>203</v>
      </c>
      <c r="C92" s="103" t="s">
        <v>204</v>
      </c>
      <c r="D92" s="96" t="s">
        <v>205</v>
      </c>
      <c r="E92" s="104" t="s">
        <v>206</v>
      </c>
      <c r="F92" s="7">
        <v>187</v>
      </c>
      <c r="G92" s="96" t="s">
        <v>245</v>
      </c>
      <c r="H92" s="13">
        <v>78</v>
      </c>
      <c r="I92" s="13">
        <v>14586</v>
      </c>
    </row>
    <row r="93" spans="1:9" x14ac:dyDescent="0.45">
      <c r="A93" s="126"/>
      <c r="B93" s="103" t="s">
        <v>217</v>
      </c>
      <c r="C93" s="103" t="s">
        <v>92</v>
      </c>
      <c r="D93" s="96" t="s">
        <v>90</v>
      </c>
      <c r="E93" s="104" t="s">
        <v>262</v>
      </c>
      <c r="F93" s="7">
        <v>285</v>
      </c>
      <c r="G93" s="96" t="s">
        <v>245</v>
      </c>
      <c r="H93" s="13">
        <v>12</v>
      </c>
      <c r="I93" s="13">
        <v>3420</v>
      </c>
    </row>
    <row r="94" spans="1:9" x14ac:dyDescent="0.45">
      <c r="A94" s="126"/>
      <c r="B94" s="103" t="s">
        <v>91</v>
      </c>
      <c r="C94" s="103" t="s">
        <v>92</v>
      </c>
      <c r="D94" s="96" t="s">
        <v>90</v>
      </c>
      <c r="E94" s="104" t="s">
        <v>262</v>
      </c>
      <c r="F94" s="7">
        <v>265</v>
      </c>
      <c r="G94" s="96" t="s">
        <v>60</v>
      </c>
      <c r="H94" s="13">
        <v>156</v>
      </c>
      <c r="I94" s="13">
        <v>41340</v>
      </c>
    </row>
    <row r="95" spans="1:9" x14ac:dyDescent="0.45">
      <c r="A95" s="126"/>
      <c r="B95" s="103" t="s">
        <v>237</v>
      </c>
      <c r="C95" s="103" t="s">
        <v>92</v>
      </c>
      <c r="D95" s="96" t="s">
        <v>90</v>
      </c>
      <c r="E95" s="104" t="s">
        <v>262</v>
      </c>
      <c r="F95" s="7">
        <v>254</v>
      </c>
      <c r="G95" s="96" t="s">
        <v>245</v>
      </c>
      <c r="H95" s="13">
        <v>25</v>
      </c>
      <c r="I95" s="13">
        <v>6350</v>
      </c>
    </row>
    <row r="96" spans="1:9" x14ac:dyDescent="0.45">
      <c r="A96" s="126"/>
      <c r="B96" s="103" t="s">
        <v>225</v>
      </c>
      <c r="C96" s="103" t="s">
        <v>204</v>
      </c>
      <c r="D96" s="96" t="s">
        <v>226</v>
      </c>
      <c r="E96" s="104" t="s">
        <v>227</v>
      </c>
      <c r="F96" s="7">
        <v>187</v>
      </c>
      <c r="G96" s="96" t="s">
        <v>245</v>
      </c>
      <c r="H96" s="13">
        <v>96</v>
      </c>
      <c r="I96" s="13">
        <v>17952</v>
      </c>
    </row>
    <row r="97" spans="1:9" x14ac:dyDescent="0.45">
      <c r="A97" s="126"/>
      <c r="B97" s="103" t="s">
        <v>70</v>
      </c>
      <c r="C97" s="103" t="s">
        <v>71</v>
      </c>
      <c r="D97" s="96" t="s">
        <v>72</v>
      </c>
      <c r="E97" s="104" t="s">
        <v>73</v>
      </c>
      <c r="F97" s="7">
        <v>180</v>
      </c>
      <c r="G97" s="96" t="s">
        <v>60</v>
      </c>
      <c r="H97" s="13">
        <v>545</v>
      </c>
      <c r="I97" s="13">
        <v>98100</v>
      </c>
    </row>
    <row r="98" spans="1:9" x14ac:dyDescent="0.45">
      <c r="A98" s="126"/>
      <c r="B98" s="103" t="s">
        <v>137</v>
      </c>
      <c r="C98" s="103" t="s">
        <v>138</v>
      </c>
      <c r="D98" s="96" t="s">
        <v>139</v>
      </c>
      <c r="E98" s="104" t="s">
        <v>140</v>
      </c>
      <c r="F98" s="7">
        <v>253</v>
      </c>
      <c r="G98" s="96" t="s">
        <v>60</v>
      </c>
      <c r="H98" s="13">
        <v>104</v>
      </c>
      <c r="I98" s="13">
        <v>26312</v>
      </c>
    </row>
    <row r="99" spans="1:9" x14ac:dyDescent="0.45">
      <c r="A99" s="126"/>
      <c r="B99" s="103" t="s">
        <v>185</v>
      </c>
      <c r="C99" s="103" t="s">
        <v>186</v>
      </c>
      <c r="D99" s="96" t="s">
        <v>187</v>
      </c>
      <c r="E99" s="104" t="s">
        <v>188</v>
      </c>
      <c r="F99" s="7">
        <v>241</v>
      </c>
      <c r="G99" s="96" t="s">
        <v>60</v>
      </c>
      <c r="H99" s="13">
        <v>79</v>
      </c>
      <c r="I99" s="13">
        <v>19039</v>
      </c>
    </row>
    <row r="100" spans="1:9" x14ac:dyDescent="0.45">
      <c r="A100" s="127"/>
      <c r="B100" s="103" t="s">
        <v>169</v>
      </c>
      <c r="C100" s="103" t="s">
        <v>109</v>
      </c>
      <c r="D100" s="96" t="s">
        <v>170</v>
      </c>
      <c r="E100" s="104" t="s">
        <v>171</v>
      </c>
      <c r="F100" s="7">
        <v>232</v>
      </c>
      <c r="G100" s="96" t="s">
        <v>60</v>
      </c>
      <c r="H100" s="13">
        <v>62</v>
      </c>
      <c r="I100" s="13">
        <v>14384</v>
      </c>
    </row>
    <row r="101" spans="1:9" x14ac:dyDescent="0.45">
      <c r="A101" s="108"/>
      <c r="B101" s="109"/>
      <c r="C101" s="109"/>
      <c r="D101" s="110"/>
      <c r="E101" s="111"/>
      <c r="F101" s="112"/>
      <c r="G101" s="110"/>
      <c r="H101" s="113"/>
      <c r="I101" s="114">
        <v>382375</v>
      </c>
    </row>
    <row r="102" spans="1:9" x14ac:dyDescent="0.45">
      <c r="A102" s="115"/>
      <c r="B102" s="116"/>
      <c r="C102" s="116"/>
      <c r="D102" s="117"/>
      <c r="E102" s="118"/>
      <c r="F102" s="119"/>
      <c r="G102" s="117"/>
      <c r="H102" s="120"/>
      <c r="I102" s="121"/>
    </row>
    <row r="103" spans="1:9" x14ac:dyDescent="0.45">
      <c r="A103" s="7" t="s">
        <v>246</v>
      </c>
      <c r="B103" s="103"/>
      <c r="C103" s="103"/>
      <c r="D103" s="96"/>
      <c r="E103" s="104"/>
      <c r="F103" s="7"/>
      <c r="G103" s="96"/>
      <c r="H103" s="13"/>
      <c r="I103" s="13">
        <v>3285598</v>
      </c>
    </row>
  </sheetData>
  <mergeCells count="48">
    <mergeCell ref="A79:A83"/>
    <mergeCell ref="A86:A100"/>
    <mergeCell ref="D65:D66"/>
    <mergeCell ref="E65:E66"/>
    <mergeCell ref="F65:F66"/>
    <mergeCell ref="A72:A76"/>
    <mergeCell ref="B72:B73"/>
    <mergeCell ref="C72:C73"/>
    <mergeCell ref="D72:D73"/>
    <mergeCell ref="E72:E73"/>
    <mergeCell ref="F72:F73"/>
    <mergeCell ref="B74:B75"/>
    <mergeCell ref="C65:C66"/>
    <mergeCell ref="C74:C75"/>
    <mergeCell ref="D74:D75"/>
    <mergeCell ref="E74:E75"/>
    <mergeCell ref="F74:F75"/>
    <mergeCell ref="A48:A50"/>
    <mergeCell ref="A53:A55"/>
    <mergeCell ref="A58:A62"/>
    <mergeCell ref="A65:A66"/>
    <mergeCell ref="B65:B66"/>
    <mergeCell ref="F41:F42"/>
    <mergeCell ref="A32:A38"/>
    <mergeCell ref="B36:B37"/>
    <mergeCell ref="C36:C37"/>
    <mergeCell ref="D36:D37"/>
    <mergeCell ref="E36:E37"/>
    <mergeCell ref="F36:F37"/>
    <mergeCell ref="A41:A45"/>
    <mergeCell ref="B41:B42"/>
    <mergeCell ref="C41:C42"/>
    <mergeCell ref="D41:D42"/>
    <mergeCell ref="E41:E42"/>
    <mergeCell ref="E19:E20"/>
    <mergeCell ref="F19:F20"/>
    <mergeCell ref="A26:A29"/>
    <mergeCell ref="B26:B27"/>
    <mergeCell ref="C26:C27"/>
    <mergeCell ref="D26:D27"/>
    <mergeCell ref="E26:E27"/>
    <mergeCell ref="F26:F27"/>
    <mergeCell ref="D19:D20"/>
    <mergeCell ref="A3:A10"/>
    <mergeCell ref="A13:A14"/>
    <mergeCell ref="A17:A20"/>
    <mergeCell ref="B19:B20"/>
    <mergeCell ref="C19:C20"/>
  </mergeCells>
  <phoneticPr fontId="3" type="noConversion"/>
  <printOptions horizontalCentered="1"/>
  <pageMargins left="0.39370078740157483" right="0.39370078740157483" top="0.39370078740157483" bottom="0.47244094488188981" header="0.31496062992125984" footer="0.27559055118110237"/>
  <pageSetup paperSize="9" orientation="landscape" r:id="rId1"/>
  <headerFooter>
    <oddFooter>&amp;C&amp;10&amp;K01+049第 &amp;P 頁，共 &amp;N 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/>
  </sheetPr>
  <dimension ref="A2:N20"/>
  <sheetViews>
    <sheetView workbookViewId="0">
      <selection activeCell="G3" sqref="G3:G4"/>
    </sheetView>
  </sheetViews>
  <sheetFormatPr defaultRowHeight="15.45" x14ac:dyDescent="0.45"/>
  <cols>
    <col min="1" max="1" width="9.20703125" customWidth="1"/>
    <col min="2" max="2" width="8" customWidth="1"/>
    <col min="3" max="3" width="7" customWidth="1"/>
    <col min="4" max="4" width="8" customWidth="1"/>
    <col min="7" max="7" width="6" customWidth="1"/>
    <col min="8" max="8" width="10.5234375" customWidth="1"/>
    <col min="9" max="9" width="28.1015625" customWidth="1"/>
    <col min="10" max="12" width="12.20703125" customWidth="1"/>
    <col min="13" max="13" width="16.41796875" customWidth="1"/>
    <col min="14" max="14" width="11.89453125" customWidth="1"/>
  </cols>
  <sheetData>
    <row r="2" spans="1:14" ht="23.4" x14ac:dyDescent="0.45">
      <c r="G2" s="23" t="s">
        <v>485</v>
      </c>
      <c r="H2" s="23"/>
      <c r="I2" s="23"/>
      <c r="J2" s="23"/>
      <c r="K2" s="23"/>
      <c r="L2" s="23"/>
      <c r="M2" s="23"/>
      <c r="N2" s="23"/>
    </row>
    <row r="3" spans="1:14" ht="19.55" customHeight="1" x14ac:dyDescent="0.45">
      <c r="A3" s="4" t="s">
        <v>335</v>
      </c>
      <c r="B3" s="4" t="s">
        <v>336</v>
      </c>
      <c r="G3" s="135" t="s">
        <v>479</v>
      </c>
      <c r="H3" s="135" t="s">
        <v>477</v>
      </c>
      <c r="I3" s="135" t="s">
        <v>476</v>
      </c>
      <c r="J3" s="135" t="s">
        <v>481</v>
      </c>
      <c r="K3" s="135"/>
      <c r="L3" s="135"/>
      <c r="M3" s="135" t="s">
        <v>478</v>
      </c>
      <c r="N3" s="135" t="s">
        <v>482</v>
      </c>
    </row>
    <row r="4" spans="1:14" ht="19.55" customHeight="1" x14ac:dyDescent="0.45">
      <c r="A4" s="4" t="s">
        <v>334</v>
      </c>
      <c r="B4" t="s">
        <v>60</v>
      </c>
      <c r="C4" t="s">
        <v>245</v>
      </c>
      <c r="D4" t="s">
        <v>246</v>
      </c>
      <c r="G4" s="135"/>
      <c r="H4" s="135"/>
      <c r="I4" s="135"/>
      <c r="J4" s="15" t="s">
        <v>60</v>
      </c>
      <c r="K4" s="15" t="s">
        <v>483</v>
      </c>
      <c r="L4" s="15" t="s">
        <v>480</v>
      </c>
      <c r="M4" s="135"/>
      <c r="N4" s="135"/>
    </row>
    <row r="5" spans="1:14" ht="27.05" customHeight="1" x14ac:dyDescent="0.45">
      <c r="A5" s="17" t="s">
        <v>10</v>
      </c>
      <c r="B5" s="5">
        <v>238618</v>
      </c>
      <c r="C5" s="5"/>
      <c r="D5" s="5">
        <v>238618</v>
      </c>
      <c r="G5" s="8">
        <v>1</v>
      </c>
      <c r="H5" s="8" t="str">
        <f ca="1">INDIRECT("A"&amp;ROW())</f>
        <v>三民</v>
      </c>
      <c r="I5" s="7" t="str">
        <f ca="1">VLOOKUP(H5,書商!$A$2:$B$26,2,)</f>
        <v>三民圖書股份有限公司</v>
      </c>
      <c r="J5" s="13">
        <f ca="1">INDIRECT("B"&amp;ROW())</f>
        <v>238618</v>
      </c>
      <c r="K5" s="13">
        <f ca="1">INDIRECT("C"&amp;ROW())</f>
        <v>0</v>
      </c>
      <c r="L5" s="13">
        <f ca="1">INDIRECT("D"&amp;ROW())</f>
        <v>238618</v>
      </c>
      <c r="M5" s="8" t="str">
        <f ca="1">IF(L5&gt;=100000,"招標議價","小額採購")</f>
        <v>招標議價</v>
      </c>
      <c r="N5" s="7"/>
    </row>
    <row r="6" spans="1:14" ht="27.05" customHeight="1" x14ac:dyDescent="0.45">
      <c r="A6" s="17" t="s">
        <v>87</v>
      </c>
      <c r="B6" s="5">
        <v>57287</v>
      </c>
      <c r="C6" s="5"/>
      <c r="D6" s="5">
        <v>57287</v>
      </c>
      <c r="G6" s="8">
        <v>2</v>
      </c>
      <c r="H6" s="8" t="str">
        <f t="shared" ref="H6:H19" ca="1" si="0">INDIRECT("A"&amp;ROW())</f>
        <v>台科大</v>
      </c>
      <c r="I6" s="7" t="str">
        <f ca="1">VLOOKUP(H6,書商!$A$2:$B$26,2,)</f>
        <v>台科大圖書股份有限公司</v>
      </c>
      <c r="J6" s="13">
        <f t="shared" ref="J6:J19" ca="1" si="1">INDIRECT("B"&amp;ROW())</f>
        <v>57287</v>
      </c>
      <c r="K6" s="13">
        <f t="shared" ref="K6:K19" ca="1" si="2">INDIRECT("C"&amp;ROW())</f>
        <v>0</v>
      </c>
      <c r="L6" s="13">
        <f t="shared" ref="L6:L19" ca="1" si="3">INDIRECT("D"&amp;ROW())</f>
        <v>57287</v>
      </c>
      <c r="M6" s="51" t="str">
        <f t="shared" ref="M6:M19" ca="1" si="4">IF(L6&gt;=100000,"招標議價","小額採購")</f>
        <v>小額採購</v>
      </c>
      <c r="N6" s="7"/>
    </row>
    <row r="7" spans="1:14" ht="27.05" customHeight="1" x14ac:dyDescent="0.45">
      <c r="A7" s="17" t="s">
        <v>161</v>
      </c>
      <c r="B7" s="5">
        <v>87680</v>
      </c>
      <c r="C7" s="5">
        <v>42240</v>
      </c>
      <c r="D7" s="5">
        <v>129920</v>
      </c>
      <c r="G7" s="8">
        <v>3</v>
      </c>
      <c r="H7" s="8" t="str">
        <f t="shared" ca="1" si="0"/>
        <v>幼獅</v>
      </c>
      <c r="I7" s="7" t="str">
        <f ca="1">VLOOKUP(H7,書商!$A$2:$B$26,2,)</f>
        <v>幼獅文化事業公司</v>
      </c>
      <c r="J7" s="13">
        <f t="shared" ca="1" si="1"/>
        <v>87680</v>
      </c>
      <c r="K7" s="13">
        <f t="shared" ca="1" si="2"/>
        <v>42240</v>
      </c>
      <c r="L7" s="13">
        <f t="shared" ca="1" si="3"/>
        <v>129920</v>
      </c>
      <c r="M7" s="8" t="str">
        <f t="shared" ca="1" si="4"/>
        <v>招標議價</v>
      </c>
      <c r="N7" s="7"/>
    </row>
    <row r="8" spans="1:14" ht="27.05" customHeight="1" x14ac:dyDescent="0.45">
      <c r="A8" s="17" t="s">
        <v>32</v>
      </c>
      <c r="B8" s="5">
        <v>40348</v>
      </c>
      <c r="C8" s="5"/>
      <c r="D8" s="5">
        <v>40348</v>
      </c>
      <c r="G8" s="8">
        <v>4</v>
      </c>
      <c r="H8" s="8" t="str">
        <f t="shared" ca="1" si="0"/>
        <v>全華</v>
      </c>
      <c r="I8" s="7" t="str">
        <f ca="1">VLOOKUP(H8,書商!$A$2:$B$26,2,)</f>
        <v>全華科技圖書股份有限公司</v>
      </c>
      <c r="J8" s="13">
        <f t="shared" ca="1" si="1"/>
        <v>40348</v>
      </c>
      <c r="K8" s="13">
        <f t="shared" ca="1" si="2"/>
        <v>0</v>
      </c>
      <c r="L8" s="13">
        <f t="shared" ca="1" si="3"/>
        <v>40348</v>
      </c>
      <c r="M8" s="51" t="str">
        <f t="shared" ca="1" si="4"/>
        <v>小額採購</v>
      </c>
      <c r="N8" s="7"/>
    </row>
    <row r="9" spans="1:14" ht="27.05" customHeight="1" x14ac:dyDescent="0.45">
      <c r="A9" s="17" t="s">
        <v>46</v>
      </c>
      <c r="B9" s="5">
        <v>305777</v>
      </c>
      <c r="C9" s="5">
        <v>12090</v>
      </c>
      <c r="D9" s="5">
        <v>317867</v>
      </c>
      <c r="G9" s="8">
        <v>5</v>
      </c>
      <c r="H9" s="8" t="str">
        <f t="shared" ca="1" si="0"/>
        <v>育達</v>
      </c>
      <c r="I9" s="7" t="str">
        <f ca="1">VLOOKUP(H9,書商!$A$2:$B$26,2,)</f>
        <v>育達文化事業股份有限公司</v>
      </c>
      <c r="J9" s="13">
        <f t="shared" ca="1" si="1"/>
        <v>305777</v>
      </c>
      <c r="K9" s="13">
        <f t="shared" ca="1" si="2"/>
        <v>12090</v>
      </c>
      <c r="L9" s="13">
        <f t="shared" ca="1" si="3"/>
        <v>317867</v>
      </c>
      <c r="M9" s="8" t="str">
        <f t="shared" ca="1" si="4"/>
        <v>招標議價</v>
      </c>
      <c r="N9" s="7"/>
    </row>
    <row r="10" spans="1:14" ht="27.05" customHeight="1" x14ac:dyDescent="0.45">
      <c r="A10" s="17" t="s">
        <v>61</v>
      </c>
      <c r="B10" s="5">
        <v>437570</v>
      </c>
      <c r="C10" s="5">
        <v>51780</v>
      </c>
      <c r="D10" s="5">
        <v>489350</v>
      </c>
      <c r="G10" s="8">
        <v>6</v>
      </c>
      <c r="H10" s="8" t="str">
        <f t="shared" ca="1" si="0"/>
        <v>東大</v>
      </c>
      <c r="I10" s="7" t="str">
        <f ca="1">VLOOKUP(H10,書商!$A$2:$B$26,2,)</f>
        <v>東大圖書股份有限公司</v>
      </c>
      <c r="J10" s="13">
        <f t="shared" ca="1" si="1"/>
        <v>437570</v>
      </c>
      <c r="K10" s="13">
        <f t="shared" ca="1" si="2"/>
        <v>51780</v>
      </c>
      <c r="L10" s="13">
        <f t="shared" ca="1" si="3"/>
        <v>489350</v>
      </c>
      <c r="M10" s="8" t="str">
        <f t="shared" ca="1" si="4"/>
        <v>招標議價</v>
      </c>
      <c r="N10" s="7"/>
    </row>
    <row r="11" spans="1:14" ht="27.05" customHeight="1" x14ac:dyDescent="0.45">
      <c r="A11" s="17" t="s">
        <v>74</v>
      </c>
      <c r="B11" s="5">
        <v>369980</v>
      </c>
      <c r="C11" s="5">
        <v>15600</v>
      </c>
      <c r="D11" s="5">
        <v>385580</v>
      </c>
      <c r="G11" s="8">
        <v>7</v>
      </c>
      <c r="H11" s="8" t="str">
        <f t="shared" ca="1" si="0"/>
        <v>信樺</v>
      </c>
      <c r="I11" s="7" t="str">
        <f ca="1">VLOOKUP(H11,書商!$A$2:$B$26,2,)</f>
        <v>信樺文化事業有限公司</v>
      </c>
      <c r="J11" s="13">
        <f t="shared" ca="1" si="1"/>
        <v>369980</v>
      </c>
      <c r="K11" s="13">
        <f t="shared" ca="1" si="2"/>
        <v>15600</v>
      </c>
      <c r="L11" s="13">
        <f t="shared" ca="1" si="3"/>
        <v>385580</v>
      </c>
      <c r="M11" s="8" t="str">
        <f t="shared" ca="1" si="4"/>
        <v>招標議價</v>
      </c>
      <c r="N11" s="7"/>
    </row>
    <row r="12" spans="1:14" ht="27.05" customHeight="1" x14ac:dyDescent="0.45">
      <c r="A12" s="17" t="s">
        <v>27</v>
      </c>
      <c r="B12" s="5">
        <v>88110</v>
      </c>
      <c r="C12" s="5"/>
      <c r="D12" s="5">
        <v>88110</v>
      </c>
      <c r="G12" s="8">
        <v>8</v>
      </c>
      <c r="H12" s="8" t="str">
        <f t="shared" ca="1" si="0"/>
        <v>南一</v>
      </c>
      <c r="I12" s="7" t="str">
        <f ca="1">VLOOKUP(H12,書商!$A$2:$B$26,2,)</f>
        <v>南一書局企業(股)公司</v>
      </c>
      <c r="J12" s="13">
        <f t="shared" ca="1" si="1"/>
        <v>88110</v>
      </c>
      <c r="K12" s="13">
        <f t="shared" ca="1" si="2"/>
        <v>0</v>
      </c>
      <c r="L12" s="13">
        <f t="shared" ca="1" si="3"/>
        <v>88110</v>
      </c>
      <c r="M12" s="51" t="str">
        <f t="shared" ca="1" si="4"/>
        <v>小額採購</v>
      </c>
      <c r="N12" s="7"/>
    </row>
    <row r="13" spans="1:14" ht="27.05" customHeight="1" x14ac:dyDescent="0.45">
      <c r="A13" s="17" t="s">
        <v>128</v>
      </c>
      <c r="B13" s="5">
        <v>122555</v>
      </c>
      <c r="C13" s="5"/>
      <c r="D13" s="5">
        <v>122555</v>
      </c>
      <c r="G13" s="8">
        <v>9</v>
      </c>
      <c r="H13" s="8" t="str">
        <f t="shared" ca="1" si="0"/>
        <v>泰宇</v>
      </c>
      <c r="I13" s="7" t="str">
        <f ca="1">VLOOKUP(H13,書商!$A$2:$B$26,2,)</f>
        <v>泰宇出版股份有限公司</v>
      </c>
      <c r="J13" s="13">
        <f t="shared" ca="1" si="1"/>
        <v>122555</v>
      </c>
      <c r="K13" s="13">
        <f t="shared" ca="1" si="2"/>
        <v>0</v>
      </c>
      <c r="L13" s="13">
        <f t="shared" ca="1" si="3"/>
        <v>122555</v>
      </c>
      <c r="M13" s="8" t="str">
        <f t="shared" ca="1" si="4"/>
        <v>招標議價</v>
      </c>
      <c r="N13" s="7"/>
    </row>
    <row r="14" spans="1:14" ht="27.05" customHeight="1" x14ac:dyDescent="0.45">
      <c r="A14" s="17" t="s">
        <v>78</v>
      </c>
      <c r="B14" s="5">
        <v>229095</v>
      </c>
      <c r="C14" s="5">
        <v>40020</v>
      </c>
      <c r="D14" s="5">
        <v>269115</v>
      </c>
      <c r="G14" s="8">
        <v>10</v>
      </c>
      <c r="H14" s="8" t="str">
        <f t="shared" ca="1" si="0"/>
        <v>啟芳</v>
      </c>
      <c r="I14" s="7" t="str">
        <f ca="1">VLOOKUP(H14,書商!$A$2:$B$26,2,)</f>
        <v>啟芳出版社有限公司</v>
      </c>
      <c r="J14" s="13">
        <f t="shared" ca="1" si="1"/>
        <v>229095</v>
      </c>
      <c r="K14" s="13">
        <f t="shared" ca="1" si="2"/>
        <v>40020</v>
      </c>
      <c r="L14" s="13">
        <f t="shared" ca="1" si="3"/>
        <v>269115</v>
      </c>
      <c r="M14" s="8" t="str">
        <f t="shared" ca="1" si="4"/>
        <v>招標議價</v>
      </c>
      <c r="N14" s="7"/>
    </row>
    <row r="15" spans="1:14" ht="27.05" customHeight="1" x14ac:dyDescent="0.45">
      <c r="A15" s="17" t="s">
        <v>196</v>
      </c>
      <c r="B15" s="5">
        <v>92800</v>
      </c>
      <c r="C15" s="5">
        <v>15950</v>
      </c>
      <c r="D15" s="5">
        <v>108750</v>
      </c>
      <c r="G15" s="8">
        <v>11</v>
      </c>
      <c r="H15" s="8" t="str">
        <f t="shared" ca="1" si="0"/>
        <v>翔宇</v>
      </c>
      <c r="I15" s="7" t="str">
        <f ca="1">VLOOKUP(H15,書商!$A$2:$B$26,2,)</f>
        <v>翔宇文化事業股份有限公司</v>
      </c>
      <c r="J15" s="13">
        <f t="shared" ca="1" si="1"/>
        <v>92800</v>
      </c>
      <c r="K15" s="13">
        <f t="shared" ca="1" si="2"/>
        <v>15950</v>
      </c>
      <c r="L15" s="13">
        <f t="shared" ca="1" si="3"/>
        <v>108750</v>
      </c>
      <c r="M15" s="8" t="str">
        <f t="shared" ca="1" si="4"/>
        <v>招標議價</v>
      </c>
      <c r="N15" s="7"/>
    </row>
    <row r="16" spans="1:14" ht="27.05" customHeight="1" x14ac:dyDescent="0.45">
      <c r="A16" s="17" t="s">
        <v>41</v>
      </c>
      <c r="B16" s="5">
        <v>102054</v>
      </c>
      <c r="C16" s="5"/>
      <c r="D16" s="5">
        <v>102054</v>
      </c>
      <c r="G16" s="8">
        <v>12</v>
      </c>
      <c r="H16" s="8" t="str">
        <f t="shared" ca="1" si="0"/>
        <v>華興</v>
      </c>
      <c r="I16" s="7" t="str">
        <f ca="1">VLOOKUP(H16,書商!$A$2:$B$26,2,)</f>
        <v>華興書局(雙日)</v>
      </c>
      <c r="J16" s="13">
        <v>98559</v>
      </c>
      <c r="K16" s="13">
        <f t="shared" ca="1" si="2"/>
        <v>0</v>
      </c>
      <c r="L16" s="13">
        <v>98559</v>
      </c>
      <c r="M16" s="51" t="str">
        <f t="shared" si="4"/>
        <v>小額採購</v>
      </c>
      <c r="N16" s="7"/>
    </row>
    <row r="17" spans="1:14" ht="27.05" customHeight="1" x14ac:dyDescent="0.45">
      <c r="A17" s="17" t="s">
        <v>93</v>
      </c>
      <c r="B17" s="5">
        <v>260764</v>
      </c>
      <c r="C17" s="5">
        <v>75252</v>
      </c>
      <c r="D17" s="5">
        <v>336016</v>
      </c>
      <c r="G17" s="8">
        <v>13</v>
      </c>
      <c r="H17" s="8" t="str">
        <f t="shared" ca="1" si="0"/>
        <v>旗立</v>
      </c>
      <c r="I17" s="7" t="str">
        <f ca="1">VLOOKUP(H17,書商!$A$2:$B$26,2,)</f>
        <v>旗立資訊股份有限公司</v>
      </c>
      <c r="J17" s="13">
        <f t="shared" ca="1" si="1"/>
        <v>260764</v>
      </c>
      <c r="K17" s="13">
        <f t="shared" ca="1" si="2"/>
        <v>75252</v>
      </c>
      <c r="L17" s="13">
        <f t="shared" ca="1" si="3"/>
        <v>336016</v>
      </c>
      <c r="M17" s="8" t="str">
        <f t="shared" ca="1" si="4"/>
        <v>招標議價</v>
      </c>
      <c r="N17" s="7"/>
    </row>
    <row r="18" spans="1:14" ht="27.05" customHeight="1" x14ac:dyDescent="0.45">
      <c r="A18" s="17" t="s">
        <v>5</v>
      </c>
      <c r="B18" s="5">
        <v>254048</v>
      </c>
      <c r="C18" s="5"/>
      <c r="D18" s="5">
        <v>254048</v>
      </c>
      <c r="G18" s="8">
        <v>14</v>
      </c>
      <c r="H18" s="8" t="str">
        <f t="shared" ca="1" si="0"/>
        <v>翰林</v>
      </c>
      <c r="I18" s="7" t="str">
        <f ca="1">VLOOKUP(H18,書商!$A$2:$B$26,2,)</f>
        <v>翰林出版事業股份有限公司</v>
      </c>
      <c r="J18" s="13">
        <f t="shared" ca="1" si="1"/>
        <v>254048</v>
      </c>
      <c r="K18" s="13">
        <f t="shared" ca="1" si="2"/>
        <v>0</v>
      </c>
      <c r="L18" s="13">
        <f t="shared" ca="1" si="3"/>
        <v>254048</v>
      </c>
      <c r="M18" s="8" t="str">
        <f t="shared" ca="1" si="4"/>
        <v>招標議價</v>
      </c>
      <c r="N18" s="7"/>
    </row>
    <row r="19" spans="1:14" ht="27.05" customHeight="1" x14ac:dyDescent="0.45">
      <c r="A19" s="17" t="s">
        <v>69</v>
      </c>
      <c r="B19" s="5">
        <v>251507</v>
      </c>
      <c r="C19" s="5">
        <v>131096</v>
      </c>
      <c r="D19" s="5">
        <v>382603</v>
      </c>
      <c r="G19" s="8">
        <v>15</v>
      </c>
      <c r="H19" s="8" t="str">
        <f t="shared" ca="1" si="0"/>
        <v>龍騰</v>
      </c>
      <c r="I19" s="7" t="str">
        <f ca="1">VLOOKUP(H19,書商!$A$2:$B$26,2,)</f>
        <v>龍騰文化事業股份有限公司</v>
      </c>
      <c r="J19" s="13">
        <f t="shared" ca="1" si="1"/>
        <v>251507</v>
      </c>
      <c r="K19" s="13">
        <f t="shared" ca="1" si="2"/>
        <v>131096</v>
      </c>
      <c r="L19" s="13">
        <f t="shared" ca="1" si="3"/>
        <v>382603</v>
      </c>
      <c r="M19" s="8" t="str">
        <f t="shared" ca="1" si="4"/>
        <v>招標議價</v>
      </c>
      <c r="N19" s="7"/>
    </row>
    <row r="20" spans="1:14" ht="27.05" customHeight="1" x14ac:dyDescent="0.45">
      <c r="A20" s="17" t="s">
        <v>246</v>
      </c>
      <c r="B20" s="5">
        <v>2938193</v>
      </c>
      <c r="C20" s="5">
        <v>384028</v>
      </c>
      <c r="D20" s="5">
        <v>3322221</v>
      </c>
      <c r="G20" s="135" t="s">
        <v>484</v>
      </c>
      <c r="H20" s="135"/>
      <c r="I20" s="135"/>
      <c r="J20" s="21">
        <f t="shared" ref="J20:K20" ca="1" si="5">SUM(J5:J19)</f>
        <v>2934698</v>
      </c>
      <c r="K20" s="21">
        <f t="shared" ca="1" si="5"/>
        <v>384028</v>
      </c>
      <c r="L20" s="21">
        <f ca="1">SUM(L5:L19)</f>
        <v>3318726</v>
      </c>
      <c r="M20" s="21"/>
      <c r="N20" s="14"/>
    </row>
  </sheetData>
  <mergeCells count="7">
    <mergeCell ref="J3:L3"/>
    <mergeCell ref="N3:N4"/>
    <mergeCell ref="G20:I20"/>
    <mergeCell ref="G3:G4"/>
    <mergeCell ref="H3:H4"/>
    <mergeCell ref="I3:I4"/>
    <mergeCell ref="M3:M4"/>
  </mergeCells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3:CB76"/>
  <sheetViews>
    <sheetView workbookViewId="0">
      <selection activeCell="G6" sqref="G6"/>
    </sheetView>
  </sheetViews>
  <sheetFormatPr defaultRowHeight="15.45" x14ac:dyDescent="0.45"/>
  <cols>
    <col min="1" max="1" width="4.89453125" customWidth="1"/>
    <col min="2" max="2" width="2.7890625" customWidth="1"/>
    <col min="3" max="3" width="14" style="11" customWidth="1"/>
    <col min="4" max="4" width="5" style="11" customWidth="1"/>
    <col min="5" max="5" width="14" style="11" customWidth="1"/>
    <col min="6" max="6" width="10.41796875" style="11" bestFit="1" customWidth="1"/>
    <col min="7" max="7" width="11.1015625" style="11" customWidth="1"/>
    <col min="8" max="8" width="4" customWidth="1"/>
    <col min="9" max="9" width="2.5234375" customWidth="1"/>
    <col min="10" max="19" width="2.5234375" bestFit="1" customWidth="1"/>
    <col min="20" max="20" width="2.3125" customWidth="1"/>
    <col min="21" max="21" width="2.5234375" bestFit="1" customWidth="1"/>
    <col min="22" max="23" width="2.3125" bestFit="1" customWidth="1"/>
    <col min="24" max="79" width="2.5234375" bestFit="1" customWidth="1"/>
    <col min="80" max="80" width="3.3125" bestFit="1" customWidth="1"/>
    <col min="81" max="96" width="10.7890625" bestFit="1" customWidth="1"/>
    <col min="97" max="97" width="3.3125" customWidth="1"/>
    <col min="98" max="98" width="7.5234375" customWidth="1"/>
  </cols>
  <sheetData>
    <row r="3" spans="1:80" ht="27.9" x14ac:dyDescent="0.45">
      <c r="A3" s="59" t="s">
        <v>512</v>
      </c>
      <c r="B3" s="59"/>
      <c r="C3" s="59"/>
      <c r="D3" s="59"/>
      <c r="E3" s="59"/>
      <c r="F3" s="59"/>
      <c r="G3" s="59"/>
      <c r="H3" s="59"/>
      <c r="I3" s="60" t="s">
        <v>55</v>
      </c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</row>
    <row r="4" spans="1:80" ht="82.2" x14ac:dyDescent="0.4">
      <c r="A4" s="62" t="s">
        <v>54</v>
      </c>
      <c r="B4" s="63" t="s">
        <v>0</v>
      </c>
      <c r="C4" s="62" t="s">
        <v>57</v>
      </c>
      <c r="D4" s="62" t="s">
        <v>56</v>
      </c>
      <c r="E4" s="62" t="s">
        <v>1</v>
      </c>
      <c r="F4" s="62" t="s">
        <v>2</v>
      </c>
      <c r="G4" s="62" t="s">
        <v>3</v>
      </c>
      <c r="H4" s="60" t="s">
        <v>546</v>
      </c>
      <c r="I4" s="64" t="s">
        <v>317</v>
      </c>
      <c r="J4" s="64" t="s">
        <v>318</v>
      </c>
      <c r="K4" s="64" t="s">
        <v>319</v>
      </c>
      <c r="L4" s="64" t="s">
        <v>323</v>
      </c>
      <c r="M4" s="64" t="s">
        <v>324</v>
      </c>
      <c r="N4" s="64" t="s">
        <v>325</v>
      </c>
      <c r="O4" s="64" t="s">
        <v>326</v>
      </c>
      <c r="P4" s="64" t="s">
        <v>330</v>
      </c>
      <c r="Q4" s="64" t="s">
        <v>331</v>
      </c>
      <c r="R4" s="64" t="s">
        <v>332</v>
      </c>
      <c r="S4" s="64" t="s">
        <v>321</v>
      </c>
      <c r="T4" s="64" t="s">
        <v>322</v>
      </c>
      <c r="U4" s="64" t="s">
        <v>328</v>
      </c>
      <c r="V4" s="64" t="s">
        <v>329</v>
      </c>
      <c r="W4" s="64" t="s">
        <v>320</v>
      </c>
      <c r="X4" s="64" t="s">
        <v>327</v>
      </c>
      <c r="Y4" s="64" t="s">
        <v>333</v>
      </c>
      <c r="Z4" s="64" t="s">
        <v>279</v>
      </c>
      <c r="AA4" s="64" t="s">
        <v>280</v>
      </c>
      <c r="AB4" s="64" t="s">
        <v>297</v>
      </c>
      <c r="AC4" s="64" t="s">
        <v>298</v>
      </c>
      <c r="AD4" s="64" t="s">
        <v>315</v>
      </c>
      <c r="AE4" s="64" t="s">
        <v>316</v>
      </c>
      <c r="AF4" s="64" t="s">
        <v>263</v>
      </c>
      <c r="AG4" s="64" t="s">
        <v>264</v>
      </c>
      <c r="AH4" s="64" t="s">
        <v>265</v>
      </c>
      <c r="AI4" s="64" t="s">
        <v>266</v>
      </c>
      <c r="AJ4" s="64" t="s">
        <v>281</v>
      </c>
      <c r="AK4" s="64" t="s">
        <v>282</v>
      </c>
      <c r="AL4" s="64" t="s">
        <v>283</v>
      </c>
      <c r="AM4" s="64" t="s">
        <v>284</v>
      </c>
      <c r="AN4" s="64" t="s">
        <v>299</v>
      </c>
      <c r="AO4" s="64" t="s">
        <v>300</v>
      </c>
      <c r="AP4" s="64" t="s">
        <v>313</v>
      </c>
      <c r="AQ4" s="64" t="s">
        <v>314</v>
      </c>
      <c r="AR4" s="64" t="s">
        <v>267</v>
      </c>
      <c r="AS4" s="64" t="s">
        <v>268</v>
      </c>
      <c r="AT4" s="64" t="s">
        <v>269</v>
      </c>
      <c r="AU4" s="64" t="s">
        <v>270</v>
      </c>
      <c r="AV4" s="64" t="s">
        <v>285</v>
      </c>
      <c r="AW4" s="64" t="s">
        <v>286</v>
      </c>
      <c r="AX4" s="64" t="s">
        <v>287</v>
      </c>
      <c r="AY4" s="64" t="s">
        <v>288</v>
      </c>
      <c r="AZ4" s="64" t="s">
        <v>301</v>
      </c>
      <c r="BA4" s="64" t="s">
        <v>302</v>
      </c>
      <c r="BB4" s="64" t="s">
        <v>303</v>
      </c>
      <c r="BC4" s="64" t="s">
        <v>304</v>
      </c>
      <c r="BD4" s="64" t="s">
        <v>271</v>
      </c>
      <c r="BE4" s="64" t="s">
        <v>272</v>
      </c>
      <c r="BF4" s="64" t="s">
        <v>273</v>
      </c>
      <c r="BG4" s="64" t="s">
        <v>274</v>
      </c>
      <c r="BH4" s="64" t="s">
        <v>289</v>
      </c>
      <c r="BI4" s="64" t="s">
        <v>290</v>
      </c>
      <c r="BJ4" s="64" t="s">
        <v>291</v>
      </c>
      <c r="BK4" s="64" t="s">
        <v>292</v>
      </c>
      <c r="BL4" s="64" t="s">
        <v>305</v>
      </c>
      <c r="BM4" s="64" t="s">
        <v>306</v>
      </c>
      <c r="BN4" s="64" t="s">
        <v>307</v>
      </c>
      <c r="BO4" s="64" t="s">
        <v>308</v>
      </c>
      <c r="BP4" s="64" t="s">
        <v>275</v>
      </c>
      <c r="BQ4" s="64" t="s">
        <v>276</v>
      </c>
      <c r="BR4" s="64" t="s">
        <v>293</v>
      </c>
      <c r="BS4" s="64" t="s">
        <v>294</v>
      </c>
      <c r="BT4" s="64" t="s">
        <v>309</v>
      </c>
      <c r="BU4" s="64" t="s">
        <v>310</v>
      </c>
      <c r="BV4" s="64" t="s">
        <v>277</v>
      </c>
      <c r="BW4" s="64" t="s">
        <v>278</v>
      </c>
      <c r="BX4" s="64" t="s">
        <v>295</v>
      </c>
      <c r="BY4" s="64" t="s">
        <v>296</v>
      </c>
      <c r="BZ4" s="64" t="s">
        <v>311</v>
      </c>
      <c r="CA4" s="64" t="s">
        <v>312</v>
      </c>
      <c r="CB4" s="64" t="s">
        <v>246</v>
      </c>
    </row>
    <row r="5" spans="1:80" x14ac:dyDescent="0.45">
      <c r="A5" s="61" t="s">
        <v>60</v>
      </c>
      <c r="B5" s="61" t="s">
        <v>4</v>
      </c>
      <c r="C5" s="61" t="s">
        <v>19</v>
      </c>
      <c r="D5" s="61" t="s">
        <v>5</v>
      </c>
      <c r="E5" s="61" t="s">
        <v>20</v>
      </c>
      <c r="F5" s="61" t="s">
        <v>21</v>
      </c>
      <c r="G5" s="61" t="s">
        <v>22</v>
      </c>
      <c r="H5" s="59">
        <v>206</v>
      </c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>
        <v>39</v>
      </c>
      <c r="AG5" s="65">
        <v>39</v>
      </c>
      <c r="AH5" s="65">
        <v>38</v>
      </c>
      <c r="AI5" s="65">
        <v>38</v>
      </c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>
        <v>154</v>
      </c>
    </row>
    <row r="6" spans="1:80" x14ac:dyDescent="0.45">
      <c r="A6" s="61" t="s">
        <v>60</v>
      </c>
      <c r="B6" s="61" t="s">
        <v>4</v>
      </c>
      <c r="C6" s="61" t="s">
        <v>50</v>
      </c>
      <c r="D6" s="61" t="s">
        <v>46</v>
      </c>
      <c r="E6" s="61" t="s">
        <v>51</v>
      </c>
      <c r="F6" s="61" t="s">
        <v>52</v>
      </c>
      <c r="G6" s="61" t="s">
        <v>53</v>
      </c>
      <c r="H6" s="59">
        <v>155</v>
      </c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>
        <v>39</v>
      </c>
      <c r="AA6" s="65">
        <v>39</v>
      </c>
      <c r="AB6" s="65"/>
      <c r="AC6" s="65"/>
      <c r="AD6" s="65"/>
      <c r="AE6" s="65"/>
      <c r="AF6" s="65">
        <v>39</v>
      </c>
      <c r="AG6" s="65">
        <v>39</v>
      </c>
      <c r="AH6" s="65">
        <v>38</v>
      </c>
      <c r="AI6" s="65">
        <v>38</v>
      </c>
      <c r="AJ6" s="65"/>
      <c r="AK6" s="65"/>
      <c r="AL6" s="65"/>
      <c r="AM6" s="65"/>
      <c r="AN6" s="65"/>
      <c r="AO6" s="65"/>
      <c r="AP6" s="65"/>
      <c r="AQ6" s="65"/>
      <c r="AR6" s="65">
        <v>40</v>
      </c>
      <c r="AS6" s="65">
        <v>40</v>
      </c>
      <c r="AT6" s="65">
        <v>40</v>
      </c>
      <c r="AU6" s="65">
        <v>39</v>
      </c>
      <c r="AV6" s="65"/>
      <c r="AW6" s="65"/>
      <c r="AX6" s="65"/>
      <c r="AY6" s="65"/>
      <c r="AZ6" s="65"/>
      <c r="BA6" s="65"/>
      <c r="BB6" s="65"/>
      <c r="BC6" s="65"/>
      <c r="BD6" s="65">
        <v>39</v>
      </c>
      <c r="BE6" s="65">
        <v>39</v>
      </c>
      <c r="BF6" s="65">
        <v>39</v>
      </c>
      <c r="BG6" s="65">
        <v>39</v>
      </c>
      <c r="BH6" s="65"/>
      <c r="BI6" s="65"/>
      <c r="BJ6" s="65"/>
      <c r="BK6" s="65"/>
      <c r="BL6" s="65"/>
      <c r="BM6" s="65"/>
      <c r="BN6" s="65"/>
      <c r="BO6" s="65"/>
      <c r="BP6" s="65">
        <v>38</v>
      </c>
      <c r="BQ6" s="65">
        <v>37</v>
      </c>
      <c r="BR6" s="65"/>
      <c r="BS6" s="65"/>
      <c r="BT6" s="65"/>
      <c r="BU6" s="65"/>
      <c r="BV6" s="65">
        <v>39</v>
      </c>
      <c r="BW6" s="65">
        <v>38</v>
      </c>
      <c r="BX6" s="65"/>
      <c r="BY6" s="65"/>
      <c r="BZ6" s="65"/>
      <c r="CA6" s="65"/>
      <c r="CB6" s="65">
        <v>699</v>
      </c>
    </row>
    <row r="7" spans="1:80" x14ac:dyDescent="0.45">
      <c r="A7" s="61" t="s">
        <v>60</v>
      </c>
      <c r="B7" s="61" t="s">
        <v>4</v>
      </c>
      <c r="C7" s="61" t="s">
        <v>94</v>
      </c>
      <c r="D7" s="61" t="s">
        <v>93</v>
      </c>
      <c r="E7" s="61" t="s">
        <v>95</v>
      </c>
      <c r="F7" s="61" t="s">
        <v>96</v>
      </c>
      <c r="G7" s="61" t="s">
        <v>97</v>
      </c>
      <c r="H7" s="59">
        <v>278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>
        <v>39</v>
      </c>
      <c r="AA7" s="65">
        <v>39</v>
      </c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>
        <v>40</v>
      </c>
      <c r="AS7" s="65">
        <v>40</v>
      </c>
      <c r="AT7" s="65">
        <v>40</v>
      </c>
      <c r="AU7" s="65">
        <v>39</v>
      </c>
      <c r="AV7" s="65"/>
      <c r="AW7" s="65"/>
      <c r="AX7" s="65"/>
      <c r="AY7" s="65"/>
      <c r="AZ7" s="65"/>
      <c r="BA7" s="65"/>
      <c r="BB7" s="65"/>
      <c r="BC7" s="65"/>
      <c r="BD7" s="65">
        <v>39</v>
      </c>
      <c r="BE7" s="65">
        <v>39</v>
      </c>
      <c r="BF7" s="65">
        <v>39</v>
      </c>
      <c r="BG7" s="65">
        <v>39</v>
      </c>
      <c r="BH7" s="65"/>
      <c r="BI7" s="65"/>
      <c r="BJ7" s="65"/>
      <c r="BK7" s="65"/>
      <c r="BL7" s="65"/>
      <c r="BM7" s="65"/>
      <c r="BN7" s="65"/>
      <c r="BO7" s="65"/>
      <c r="BP7" s="65">
        <v>38</v>
      </c>
      <c r="BQ7" s="65">
        <v>37</v>
      </c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>
        <v>468</v>
      </c>
    </row>
    <row r="8" spans="1:80" x14ac:dyDescent="0.45">
      <c r="A8" s="61" t="s">
        <v>60</v>
      </c>
      <c r="B8" s="61" t="s">
        <v>4</v>
      </c>
      <c r="C8" s="61" t="s">
        <v>15</v>
      </c>
      <c r="D8" s="61" t="s">
        <v>5</v>
      </c>
      <c r="E8" s="61" t="s">
        <v>16</v>
      </c>
      <c r="F8" s="61" t="s">
        <v>17</v>
      </c>
      <c r="G8" s="61" t="s">
        <v>18</v>
      </c>
      <c r="H8" s="59">
        <v>215</v>
      </c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>
        <v>39</v>
      </c>
      <c r="AG8" s="65">
        <v>39</v>
      </c>
      <c r="AH8" s="65">
        <v>38</v>
      </c>
      <c r="AI8" s="65">
        <v>38</v>
      </c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>
        <v>154</v>
      </c>
    </row>
    <row r="9" spans="1:80" x14ac:dyDescent="0.45">
      <c r="A9" s="61" t="s">
        <v>60</v>
      </c>
      <c r="B9" s="61" t="s">
        <v>4</v>
      </c>
      <c r="C9" s="61" t="s">
        <v>23</v>
      </c>
      <c r="D9" s="61" t="s">
        <v>10</v>
      </c>
      <c r="E9" s="61" t="s">
        <v>24</v>
      </c>
      <c r="F9" s="61" t="s">
        <v>25</v>
      </c>
      <c r="G9" s="61" t="s">
        <v>26</v>
      </c>
      <c r="H9" s="59">
        <v>232</v>
      </c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>
        <v>39</v>
      </c>
      <c r="AA9" s="65">
        <v>39</v>
      </c>
      <c r="AB9" s="65"/>
      <c r="AC9" s="65"/>
      <c r="AD9" s="65"/>
      <c r="AE9" s="65"/>
      <c r="AF9" s="65">
        <v>39</v>
      </c>
      <c r="AG9" s="65">
        <v>39</v>
      </c>
      <c r="AH9" s="65">
        <v>38</v>
      </c>
      <c r="AI9" s="65">
        <v>38</v>
      </c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>
        <v>232</v>
      </c>
    </row>
    <row r="10" spans="1:80" x14ac:dyDescent="0.45">
      <c r="A10" s="61" t="s">
        <v>60</v>
      </c>
      <c r="B10" s="61" t="s">
        <v>4</v>
      </c>
      <c r="C10" s="61" t="s">
        <v>6</v>
      </c>
      <c r="D10" s="61" t="s">
        <v>5</v>
      </c>
      <c r="E10" s="61" t="s">
        <v>7</v>
      </c>
      <c r="F10" s="61" t="s">
        <v>8</v>
      </c>
      <c r="G10" s="61" t="s">
        <v>9</v>
      </c>
      <c r="H10" s="59">
        <v>195</v>
      </c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>
        <v>39</v>
      </c>
      <c r="AG10" s="65">
        <v>39</v>
      </c>
      <c r="AH10" s="65">
        <v>38</v>
      </c>
      <c r="AI10" s="65">
        <v>38</v>
      </c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>
        <v>154</v>
      </c>
    </row>
    <row r="11" spans="1:80" x14ac:dyDescent="0.45">
      <c r="A11" s="61" t="s">
        <v>60</v>
      </c>
      <c r="B11" s="61" t="s">
        <v>4</v>
      </c>
      <c r="C11" s="61" t="s">
        <v>28</v>
      </c>
      <c r="D11" s="61" t="s">
        <v>27</v>
      </c>
      <c r="E11" s="61" t="s">
        <v>29</v>
      </c>
      <c r="F11" s="61" t="s">
        <v>30</v>
      </c>
      <c r="G11" s="61" t="s">
        <v>31</v>
      </c>
      <c r="H11" s="59">
        <v>185</v>
      </c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>
        <v>39</v>
      </c>
      <c r="AG11" s="65">
        <v>39</v>
      </c>
      <c r="AH11" s="65">
        <v>38</v>
      </c>
      <c r="AI11" s="65">
        <v>38</v>
      </c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>
        <v>154</v>
      </c>
    </row>
    <row r="12" spans="1:80" x14ac:dyDescent="0.45">
      <c r="A12" s="61" t="s">
        <v>60</v>
      </c>
      <c r="B12" s="61" t="s">
        <v>4</v>
      </c>
      <c r="C12" s="61" t="s">
        <v>66</v>
      </c>
      <c r="D12" s="61" t="s">
        <v>61</v>
      </c>
      <c r="E12" s="61" t="s">
        <v>24</v>
      </c>
      <c r="F12" s="61" t="s">
        <v>67</v>
      </c>
      <c r="G12" s="61" t="s">
        <v>68</v>
      </c>
      <c r="H12" s="59">
        <v>210</v>
      </c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>
        <v>40</v>
      </c>
      <c r="AS12" s="65">
        <v>40</v>
      </c>
      <c r="AT12" s="65">
        <v>40</v>
      </c>
      <c r="AU12" s="65">
        <v>39</v>
      </c>
      <c r="AV12" s="65"/>
      <c r="AW12" s="65"/>
      <c r="AX12" s="65"/>
      <c r="AY12" s="65"/>
      <c r="AZ12" s="65"/>
      <c r="BA12" s="65"/>
      <c r="BB12" s="65"/>
      <c r="BC12" s="65"/>
      <c r="BD12" s="65">
        <v>39</v>
      </c>
      <c r="BE12" s="65">
        <v>39</v>
      </c>
      <c r="BF12" s="65">
        <v>39</v>
      </c>
      <c r="BG12" s="65">
        <v>39</v>
      </c>
      <c r="BH12" s="65"/>
      <c r="BI12" s="65"/>
      <c r="BJ12" s="65"/>
      <c r="BK12" s="65"/>
      <c r="BL12" s="65"/>
      <c r="BM12" s="65"/>
      <c r="BN12" s="65"/>
      <c r="BO12" s="65"/>
      <c r="BP12" s="65">
        <v>38</v>
      </c>
      <c r="BQ12" s="65">
        <v>37</v>
      </c>
      <c r="BR12" s="65"/>
      <c r="BS12" s="65"/>
      <c r="BT12" s="65"/>
      <c r="BU12" s="65"/>
      <c r="BV12" s="65">
        <v>39</v>
      </c>
      <c r="BW12" s="65">
        <v>38</v>
      </c>
      <c r="BX12" s="65"/>
      <c r="BY12" s="65"/>
      <c r="BZ12" s="65"/>
      <c r="CA12" s="65"/>
      <c r="CB12" s="65">
        <v>467</v>
      </c>
    </row>
    <row r="13" spans="1:80" x14ac:dyDescent="0.45">
      <c r="A13" s="61" t="s">
        <v>60</v>
      </c>
      <c r="B13" s="61" t="s">
        <v>4</v>
      </c>
      <c r="C13" s="61" t="s">
        <v>62</v>
      </c>
      <c r="D13" s="59" t="s">
        <v>61</v>
      </c>
      <c r="E13" s="61" t="s">
        <v>63</v>
      </c>
      <c r="F13" s="61" t="s">
        <v>64</v>
      </c>
      <c r="G13" s="61" t="s">
        <v>65</v>
      </c>
      <c r="H13" s="59">
        <v>240</v>
      </c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>
        <v>39</v>
      </c>
      <c r="AA13" s="65">
        <v>39</v>
      </c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>
        <v>40</v>
      </c>
      <c r="AS13" s="65">
        <v>40</v>
      </c>
      <c r="AT13" s="65">
        <v>40</v>
      </c>
      <c r="AU13" s="65">
        <v>39</v>
      </c>
      <c r="AV13" s="65"/>
      <c r="AW13" s="65"/>
      <c r="AX13" s="65"/>
      <c r="AY13" s="65"/>
      <c r="AZ13" s="65"/>
      <c r="BA13" s="65"/>
      <c r="BB13" s="65"/>
      <c r="BC13" s="65"/>
      <c r="BD13" s="65">
        <v>39</v>
      </c>
      <c r="BE13" s="65">
        <v>39</v>
      </c>
      <c r="BF13" s="65">
        <v>39</v>
      </c>
      <c r="BG13" s="65">
        <v>39</v>
      </c>
      <c r="BH13" s="65"/>
      <c r="BI13" s="65"/>
      <c r="BJ13" s="65"/>
      <c r="BK13" s="65"/>
      <c r="BL13" s="65"/>
      <c r="BM13" s="65"/>
      <c r="BN13" s="65"/>
      <c r="BO13" s="65"/>
      <c r="BP13" s="65">
        <v>38</v>
      </c>
      <c r="BQ13" s="65">
        <v>37</v>
      </c>
      <c r="BR13" s="65"/>
      <c r="BS13" s="65"/>
      <c r="BT13" s="65"/>
      <c r="BU13" s="65"/>
      <c r="BV13" s="65">
        <v>39</v>
      </c>
      <c r="BW13" s="65">
        <v>38</v>
      </c>
      <c r="BX13" s="65"/>
      <c r="BY13" s="65"/>
      <c r="BZ13" s="65"/>
      <c r="CA13" s="65"/>
      <c r="CB13" s="65">
        <v>545</v>
      </c>
    </row>
    <row r="14" spans="1:80" x14ac:dyDescent="0.45">
      <c r="A14" s="61" t="s">
        <v>60</v>
      </c>
      <c r="B14" s="61" t="s">
        <v>4</v>
      </c>
      <c r="C14" s="61" t="s">
        <v>47</v>
      </c>
      <c r="D14" s="61" t="s">
        <v>46</v>
      </c>
      <c r="E14" s="61" t="s">
        <v>48</v>
      </c>
      <c r="F14" s="61" t="s">
        <v>49</v>
      </c>
      <c r="G14" s="61" t="s">
        <v>102</v>
      </c>
      <c r="H14" s="59">
        <v>168</v>
      </c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>
        <v>39</v>
      </c>
      <c r="AA14" s="65">
        <v>39</v>
      </c>
      <c r="AB14" s="65"/>
      <c r="AC14" s="65"/>
      <c r="AD14" s="65"/>
      <c r="AE14" s="65"/>
      <c r="AF14" s="65">
        <v>39</v>
      </c>
      <c r="AG14" s="65">
        <v>39</v>
      </c>
      <c r="AH14" s="65">
        <v>38</v>
      </c>
      <c r="AI14" s="65">
        <v>38</v>
      </c>
      <c r="AJ14" s="65"/>
      <c r="AK14" s="65"/>
      <c r="AL14" s="65"/>
      <c r="AM14" s="65"/>
      <c r="AN14" s="65"/>
      <c r="AO14" s="65"/>
      <c r="AP14" s="65"/>
      <c r="AQ14" s="65"/>
      <c r="AR14" s="65">
        <v>40</v>
      </c>
      <c r="AS14" s="65">
        <v>40</v>
      </c>
      <c r="AT14" s="65">
        <v>40</v>
      </c>
      <c r="AU14" s="65">
        <v>39</v>
      </c>
      <c r="AV14" s="65"/>
      <c r="AW14" s="65"/>
      <c r="AX14" s="65"/>
      <c r="AY14" s="65"/>
      <c r="AZ14" s="65"/>
      <c r="BA14" s="65"/>
      <c r="BB14" s="65"/>
      <c r="BC14" s="65"/>
      <c r="BD14" s="65">
        <v>39</v>
      </c>
      <c r="BE14" s="65">
        <v>39</v>
      </c>
      <c r="BF14" s="65">
        <v>39</v>
      </c>
      <c r="BG14" s="65">
        <v>39</v>
      </c>
      <c r="BH14" s="65"/>
      <c r="BI14" s="65"/>
      <c r="BJ14" s="65"/>
      <c r="BK14" s="65"/>
      <c r="BL14" s="65"/>
      <c r="BM14" s="65"/>
      <c r="BN14" s="65"/>
      <c r="BO14" s="65"/>
      <c r="BP14" s="65">
        <v>38</v>
      </c>
      <c r="BQ14" s="65">
        <v>37</v>
      </c>
      <c r="BR14" s="65"/>
      <c r="BS14" s="65"/>
      <c r="BT14" s="65"/>
      <c r="BU14" s="65"/>
      <c r="BV14" s="65">
        <v>39</v>
      </c>
      <c r="BW14" s="65">
        <v>38</v>
      </c>
      <c r="BX14" s="65"/>
      <c r="BY14" s="65"/>
      <c r="BZ14" s="65"/>
      <c r="CA14" s="65"/>
      <c r="CB14" s="65">
        <v>699</v>
      </c>
    </row>
    <row r="15" spans="1:80" x14ac:dyDescent="0.45">
      <c r="A15" s="61" t="s">
        <v>60</v>
      </c>
      <c r="B15" s="61" t="s">
        <v>4</v>
      </c>
      <c r="C15" s="61" t="s">
        <v>83</v>
      </c>
      <c r="D15" s="61" t="s">
        <v>74</v>
      </c>
      <c r="E15" s="61" t="s">
        <v>84</v>
      </c>
      <c r="F15" s="61" t="s">
        <v>85</v>
      </c>
      <c r="G15" s="61" t="s">
        <v>86</v>
      </c>
      <c r="H15" s="59">
        <v>200</v>
      </c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>
        <v>39</v>
      </c>
      <c r="AA15" s="65">
        <v>39</v>
      </c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>
        <v>40</v>
      </c>
      <c r="AS15" s="65">
        <v>40</v>
      </c>
      <c r="AT15" s="65">
        <v>40</v>
      </c>
      <c r="AU15" s="65">
        <v>39</v>
      </c>
      <c r="AV15" s="65"/>
      <c r="AW15" s="65"/>
      <c r="AX15" s="65"/>
      <c r="AY15" s="65"/>
      <c r="AZ15" s="65"/>
      <c r="BA15" s="65"/>
      <c r="BB15" s="65"/>
      <c r="BC15" s="65"/>
      <c r="BD15" s="65">
        <v>39</v>
      </c>
      <c r="BE15" s="65">
        <v>39</v>
      </c>
      <c r="BF15" s="65">
        <v>39</v>
      </c>
      <c r="BG15" s="65">
        <v>39</v>
      </c>
      <c r="BH15" s="65"/>
      <c r="BI15" s="65"/>
      <c r="BJ15" s="65"/>
      <c r="BK15" s="65"/>
      <c r="BL15" s="65"/>
      <c r="BM15" s="65"/>
      <c r="BN15" s="65"/>
      <c r="BO15" s="65"/>
      <c r="BP15" s="65">
        <v>38</v>
      </c>
      <c r="BQ15" s="65">
        <v>37</v>
      </c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>
        <v>468</v>
      </c>
    </row>
    <row r="16" spans="1:80" x14ac:dyDescent="0.45">
      <c r="A16" s="61" t="s">
        <v>60</v>
      </c>
      <c r="B16" s="61" t="s">
        <v>4</v>
      </c>
      <c r="C16" s="61" t="s">
        <v>91</v>
      </c>
      <c r="D16" s="61" t="s">
        <v>69</v>
      </c>
      <c r="E16" s="61" t="s">
        <v>92</v>
      </c>
      <c r="F16" s="61" t="s">
        <v>90</v>
      </c>
      <c r="G16" s="61" t="s">
        <v>262</v>
      </c>
      <c r="H16" s="59">
        <v>265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>
        <v>39</v>
      </c>
      <c r="BE16" s="65">
        <v>39</v>
      </c>
      <c r="BF16" s="65">
        <v>39</v>
      </c>
      <c r="BG16" s="65">
        <v>39</v>
      </c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>
        <v>156</v>
      </c>
    </row>
    <row r="17" spans="1:80" x14ac:dyDescent="0.45">
      <c r="A17" s="61" t="s">
        <v>60</v>
      </c>
      <c r="B17" s="61" t="s">
        <v>4</v>
      </c>
      <c r="C17" s="61" t="s">
        <v>98</v>
      </c>
      <c r="D17" s="61" t="s">
        <v>87</v>
      </c>
      <c r="E17" s="61" t="s">
        <v>99</v>
      </c>
      <c r="F17" s="59"/>
      <c r="G17" s="59"/>
      <c r="H17" s="59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>
        <v>39</v>
      </c>
      <c r="BW17" s="65">
        <v>38</v>
      </c>
      <c r="BX17" s="65"/>
      <c r="BY17" s="65"/>
      <c r="BZ17" s="65"/>
      <c r="CA17" s="65"/>
      <c r="CB17" s="65">
        <v>77</v>
      </c>
    </row>
    <row r="18" spans="1:80" x14ac:dyDescent="0.45">
      <c r="A18" s="61" t="s">
        <v>60</v>
      </c>
      <c r="B18" s="61" t="s">
        <v>4</v>
      </c>
      <c r="C18" s="61" t="s">
        <v>37</v>
      </c>
      <c r="D18" s="61" t="s">
        <v>5</v>
      </c>
      <c r="E18" s="61" t="s">
        <v>38</v>
      </c>
      <c r="F18" s="61" t="s">
        <v>39</v>
      </c>
      <c r="G18" s="61" t="s">
        <v>40</v>
      </c>
      <c r="H18" s="59">
        <v>218</v>
      </c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>
        <v>39</v>
      </c>
      <c r="AG18" s="65">
        <v>39</v>
      </c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>
        <v>78</v>
      </c>
    </row>
    <row r="19" spans="1:80" x14ac:dyDescent="0.45">
      <c r="A19" s="61" t="s">
        <v>60</v>
      </c>
      <c r="B19" s="61" t="s">
        <v>4</v>
      </c>
      <c r="C19" s="61" t="s">
        <v>33</v>
      </c>
      <c r="D19" s="61" t="s">
        <v>32</v>
      </c>
      <c r="E19" s="61" t="s">
        <v>34</v>
      </c>
      <c r="F19" s="61" t="s">
        <v>35</v>
      </c>
      <c r="G19" s="61" t="s">
        <v>36</v>
      </c>
      <c r="H19" s="59">
        <v>262</v>
      </c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>
        <v>39</v>
      </c>
      <c r="AG19" s="65">
        <v>39</v>
      </c>
      <c r="AH19" s="65">
        <v>38</v>
      </c>
      <c r="AI19" s="65">
        <v>38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>
        <v>154</v>
      </c>
    </row>
    <row r="20" spans="1:80" x14ac:dyDescent="0.45">
      <c r="A20" s="61" t="s">
        <v>60</v>
      </c>
      <c r="B20" s="61" t="s">
        <v>4</v>
      </c>
      <c r="C20" s="61" t="s">
        <v>75</v>
      </c>
      <c r="D20" s="61" t="s">
        <v>74</v>
      </c>
      <c r="E20" s="59" t="s">
        <v>519</v>
      </c>
      <c r="F20" s="59" t="s">
        <v>76</v>
      </c>
      <c r="G20" s="59" t="s">
        <v>77</v>
      </c>
      <c r="H20" s="59">
        <v>200</v>
      </c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>
        <v>40</v>
      </c>
      <c r="AS20" s="65">
        <v>40</v>
      </c>
      <c r="AT20" s="65">
        <v>40</v>
      </c>
      <c r="AU20" s="65">
        <v>39</v>
      </c>
      <c r="AV20" s="65"/>
      <c r="AW20" s="65"/>
      <c r="AX20" s="65"/>
      <c r="AY20" s="65"/>
      <c r="AZ20" s="65"/>
      <c r="BA20" s="65"/>
      <c r="BB20" s="65"/>
      <c r="BC20" s="65"/>
      <c r="BD20" s="65">
        <v>39</v>
      </c>
      <c r="BE20" s="65">
        <v>39</v>
      </c>
      <c r="BF20" s="65">
        <v>39</v>
      </c>
      <c r="BG20" s="65">
        <v>39</v>
      </c>
      <c r="BH20" s="65"/>
      <c r="BI20" s="65"/>
      <c r="BJ20" s="65"/>
      <c r="BK20" s="65"/>
      <c r="BL20" s="65"/>
      <c r="BM20" s="65"/>
      <c r="BN20" s="65"/>
      <c r="BO20" s="65"/>
      <c r="BP20" s="65">
        <v>38</v>
      </c>
      <c r="BQ20" s="65">
        <v>37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>
        <v>390</v>
      </c>
    </row>
    <row r="21" spans="1:80" x14ac:dyDescent="0.45">
      <c r="A21" s="61" t="s">
        <v>60</v>
      </c>
      <c r="B21" s="61" t="s">
        <v>4</v>
      </c>
      <c r="C21" s="61" t="s">
        <v>79</v>
      </c>
      <c r="D21" s="61" t="s">
        <v>78</v>
      </c>
      <c r="E21" s="61" t="s">
        <v>80</v>
      </c>
      <c r="F21" s="61" t="s">
        <v>81</v>
      </c>
      <c r="G21" s="61" t="s">
        <v>82</v>
      </c>
      <c r="H21" s="59">
        <v>230</v>
      </c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>
        <v>40</v>
      </c>
      <c r="AS21" s="65">
        <v>40</v>
      </c>
      <c r="AT21" s="65">
        <v>40</v>
      </c>
      <c r="AU21" s="65">
        <v>39</v>
      </c>
      <c r="AV21" s="65"/>
      <c r="AW21" s="65"/>
      <c r="AX21" s="65"/>
      <c r="AY21" s="65"/>
      <c r="AZ21" s="65"/>
      <c r="BA21" s="65"/>
      <c r="BB21" s="65"/>
      <c r="BC21" s="65"/>
      <c r="BD21" s="65">
        <v>39</v>
      </c>
      <c r="BE21" s="65">
        <v>39</v>
      </c>
      <c r="BF21" s="65">
        <v>39</v>
      </c>
      <c r="BG21" s="65">
        <v>39</v>
      </c>
      <c r="BH21" s="65"/>
      <c r="BI21" s="65"/>
      <c r="BJ21" s="65"/>
      <c r="BK21" s="65"/>
      <c r="BL21" s="65"/>
      <c r="BM21" s="65"/>
      <c r="BN21" s="65"/>
      <c r="BO21" s="65"/>
      <c r="BP21" s="65">
        <v>38</v>
      </c>
      <c r="BQ21" s="65">
        <v>37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>
        <v>390</v>
      </c>
    </row>
    <row r="22" spans="1:80" x14ac:dyDescent="0.45">
      <c r="A22" s="61" t="s">
        <v>60</v>
      </c>
      <c r="B22" s="61" t="s">
        <v>4</v>
      </c>
      <c r="C22" s="61" t="s">
        <v>88</v>
      </c>
      <c r="D22" s="61" t="s">
        <v>87</v>
      </c>
      <c r="E22" s="61" t="s">
        <v>89</v>
      </c>
      <c r="F22" s="61" t="s">
        <v>90</v>
      </c>
      <c r="G22" s="61" t="s">
        <v>262</v>
      </c>
      <c r="H22" s="59">
        <v>200</v>
      </c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>
        <v>40</v>
      </c>
      <c r="AS22" s="65">
        <v>40</v>
      </c>
      <c r="AT22" s="65">
        <v>40</v>
      </c>
      <c r="AU22" s="65">
        <v>39</v>
      </c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>
        <v>159</v>
      </c>
    </row>
    <row r="23" spans="1:80" x14ac:dyDescent="0.45">
      <c r="A23" s="61" t="s">
        <v>60</v>
      </c>
      <c r="B23" s="61" t="s">
        <v>4</v>
      </c>
      <c r="C23" s="61" t="s">
        <v>70</v>
      </c>
      <c r="D23" s="61" t="s">
        <v>69</v>
      </c>
      <c r="E23" s="61" t="s">
        <v>71</v>
      </c>
      <c r="F23" s="61" t="s">
        <v>72</v>
      </c>
      <c r="G23" s="61" t="s">
        <v>73</v>
      </c>
      <c r="H23" s="59">
        <v>180</v>
      </c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>
        <v>39</v>
      </c>
      <c r="AA23" s="65">
        <v>39</v>
      </c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>
        <v>40</v>
      </c>
      <c r="AS23" s="65">
        <v>40</v>
      </c>
      <c r="AT23" s="65">
        <v>40</v>
      </c>
      <c r="AU23" s="65">
        <v>39</v>
      </c>
      <c r="AV23" s="65"/>
      <c r="AW23" s="65"/>
      <c r="AX23" s="65"/>
      <c r="AY23" s="65"/>
      <c r="AZ23" s="65"/>
      <c r="BA23" s="65"/>
      <c r="BB23" s="65"/>
      <c r="BC23" s="65"/>
      <c r="BD23" s="65">
        <v>39</v>
      </c>
      <c r="BE23" s="65">
        <v>39</v>
      </c>
      <c r="BF23" s="65">
        <v>39</v>
      </c>
      <c r="BG23" s="65">
        <v>39</v>
      </c>
      <c r="BH23" s="65"/>
      <c r="BI23" s="65"/>
      <c r="BJ23" s="65"/>
      <c r="BK23" s="65"/>
      <c r="BL23" s="65"/>
      <c r="BM23" s="65"/>
      <c r="BN23" s="65"/>
      <c r="BO23" s="65"/>
      <c r="BP23" s="65">
        <v>38</v>
      </c>
      <c r="BQ23" s="65">
        <v>37</v>
      </c>
      <c r="BR23" s="65"/>
      <c r="BS23" s="65"/>
      <c r="BT23" s="65"/>
      <c r="BU23" s="65"/>
      <c r="BV23" s="65">
        <v>39</v>
      </c>
      <c r="BW23" s="65">
        <v>38</v>
      </c>
      <c r="BX23" s="65"/>
      <c r="BY23" s="65"/>
      <c r="BZ23" s="65"/>
      <c r="CA23" s="65"/>
      <c r="CB23" s="65">
        <v>545</v>
      </c>
    </row>
    <row r="24" spans="1:80" x14ac:dyDescent="0.45">
      <c r="A24" s="61" t="s">
        <v>60</v>
      </c>
      <c r="B24" s="61" t="s">
        <v>4</v>
      </c>
      <c r="C24" s="61" t="s">
        <v>11</v>
      </c>
      <c r="D24" s="61" t="s">
        <v>10</v>
      </c>
      <c r="E24" s="61" t="s">
        <v>12</v>
      </c>
      <c r="F24" s="61" t="s">
        <v>13</v>
      </c>
      <c r="G24" s="61" t="s">
        <v>14</v>
      </c>
      <c r="H24" s="59">
        <v>228</v>
      </c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>
        <v>39</v>
      </c>
      <c r="AG24" s="65">
        <v>39</v>
      </c>
      <c r="AH24" s="65">
        <v>38</v>
      </c>
      <c r="AI24" s="65">
        <v>38</v>
      </c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>
        <v>154</v>
      </c>
    </row>
    <row r="25" spans="1:80" x14ac:dyDescent="0.45">
      <c r="A25" s="61" t="s">
        <v>60</v>
      </c>
      <c r="B25" s="61" t="s">
        <v>4</v>
      </c>
      <c r="C25" s="61" t="s">
        <v>42</v>
      </c>
      <c r="D25" s="61" t="s">
        <v>41</v>
      </c>
      <c r="E25" s="61" t="s">
        <v>43</v>
      </c>
      <c r="F25" s="61" t="s">
        <v>44</v>
      </c>
      <c r="G25" s="61" t="s">
        <v>45</v>
      </c>
      <c r="H25" s="59">
        <v>141</v>
      </c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>
        <v>39</v>
      </c>
      <c r="AA25" s="65">
        <v>39</v>
      </c>
      <c r="AB25" s="65"/>
      <c r="AC25" s="65"/>
      <c r="AD25" s="65"/>
      <c r="AE25" s="65"/>
      <c r="AF25" s="65">
        <v>39</v>
      </c>
      <c r="AG25" s="65">
        <v>39</v>
      </c>
      <c r="AH25" s="65">
        <v>38</v>
      </c>
      <c r="AI25" s="65">
        <v>38</v>
      </c>
      <c r="AJ25" s="65"/>
      <c r="AK25" s="65"/>
      <c r="AL25" s="65"/>
      <c r="AM25" s="65"/>
      <c r="AN25" s="65"/>
      <c r="AO25" s="65"/>
      <c r="AP25" s="65"/>
      <c r="AQ25" s="65"/>
      <c r="AR25" s="65">
        <v>40</v>
      </c>
      <c r="AS25" s="65">
        <v>40</v>
      </c>
      <c r="AT25" s="65">
        <v>40</v>
      </c>
      <c r="AU25" s="65">
        <v>39</v>
      </c>
      <c r="AV25" s="65"/>
      <c r="AW25" s="65"/>
      <c r="AX25" s="65"/>
      <c r="AY25" s="65"/>
      <c r="AZ25" s="65"/>
      <c r="BA25" s="65"/>
      <c r="BB25" s="65"/>
      <c r="BC25" s="65"/>
      <c r="BD25" s="65">
        <v>39</v>
      </c>
      <c r="BE25" s="65">
        <v>39</v>
      </c>
      <c r="BF25" s="65">
        <v>39</v>
      </c>
      <c r="BG25" s="65">
        <v>39</v>
      </c>
      <c r="BH25" s="65"/>
      <c r="BI25" s="65"/>
      <c r="BJ25" s="65"/>
      <c r="BK25" s="65"/>
      <c r="BL25" s="65"/>
      <c r="BM25" s="65"/>
      <c r="BN25" s="65"/>
      <c r="BO25" s="65"/>
      <c r="BP25" s="65">
        <v>38</v>
      </c>
      <c r="BQ25" s="65">
        <v>37</v>
      </c>
      <c r="BR25" s="65"/>
      <c r="BS25" s="65"/>
      <c r="BT25" s="65"/>
      <c r="BU25" s="65"/>
      <c r="BV25" s="65">
        <v>39</v>
      </c>
      <c r="BW25" s="65">
        <v>38</v>
      </c>
      <c r="BX25" s="65"/>
      <c r="BY25" s="65"/>
      <c r="BZ25" s="65"/>
      <c r="CA25" s="65"/>
      <c r="CB25" s="65">
        <v>699</v>
      </c>
    </row>
    <row r="26" spans="1:80" x14ac:dyDescent="0.45">
      <c r="A26" s="61" t="s">
        <v>60</v>
      </c>
      <c r="B26" s="61" t="s">
        <v>103</v>
      </c>
      <c r="C26" s="61" t="s">
        <v>112</v>
      </c>
      <c r="D26" s="61" t="s">
        <v>69</v>
      </c>
      <c r="E26" s="61" t="s">
        <v>113</v>
      </c>
      <c r="F26" s="61" t="s">
        <v>114</v>
      </c>
      <c r="G26" s="61" t="s">
        <v>115</v>
      </c>
      <c r="H26" s="59">
        <v>228</v>
      </c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>
        <v>29</v>
      </c>
      <c r="AK26" s="65">
        <v>30</v>
      </c>
      <c r="AL26" s="65">
        <v>51</v>
      </c>
      <c r="AM26" s="65">
        <v>53</v>
      </c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>
        <v>163</v>
      </c>
    </row>
    <row r="27" spans="1:80" x14ac:dyDescent="0.45">
      <c r="A27" s="61" t="s">
        <v>60</v>
      </c>
      <c r="B27" s="61" t="s">
        <v>103</v>
      </c>
      <c r="C27" s="61" t="s">
        <v>145</v>
      </c>
      <c r="D27" s="61" t="s">
        <v>78</v>
      </c>
      <c r="E27" s="61" t="s">
        <v>146</v>
      </c>
      <c r="F27" s="61" t="s">
        <v>90</v>
      </c>
      <c r="G27" s="61" t="s">
        <v>262</v>
      </c>
      <c r="H27" s="59">
        <v>230</v>
      </c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>
        <v>40</v>
      </c>
      <c r="AW27" s="65">
        <v>38</v>
      </c>
      <c r="AX27" s="65">
        <v>39</v>
      </c>
      <c r="AY27" s="65">
        <v>38</v>
      </c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>
        <v>155</v>
      </c>
    </row>
    <row r="28" spans="1:80" x14ac:dyDescent="0.45">
      <c r="A28" s="61" t="s">
        <v>60</v>
      </c>
      <c r="B28" s="61" t="s">
        <v>103</v>
      </c>
      <c r="C28" s="61" t="s">
        <v>154</v>
      </c>
      <c r="D28" s="61" t="s">
        <v>93</v>
      </c>
      <c r="E28" s="61" t="s">
        <v>95</v>
      </c>
      <c r="F28" s="61" t="s">
        <v>155</v>
      </c>
      <c r="G28" s="61" t="s">
        <v>156</v>
      </c>
      <c r="H28" s="59">
        <v>278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>
        <v>40</v>
      </c>
      <c r="AC28" s="65">
        <v>42</v>
      </c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>
        <v>40</v>
      </c>
      <c r="AW28" s="65">
        <v>38</v>
      </c>
      <c r="AX28" s="65">
        <v>40</v>
      </c>
      <c r="AY28" s="65">
        <v>38</v>
      </c>
      <c r="AZ28" s="65"/>
      <c r="BA28" s="65"/>
      <c r="BB28" s="65"/>
      <c r="BC28" s="65"/>
      <c r="BD28" s="65"/>
      <c r="BE28" s="65"/>
      <c r="BF28" s="65"/>
      <c r="BG28" s="65"/>
      <c r="BH28" s="65">
        <v>39</v>
      </c>
      <c r="BI28" s="65">
        <v>37</v>
      </c>
      <c r="BJ28" s="65">
        <v>37</v>
      </c>
      <c r="BK28" s="65">
        <v>39</v>
      </c>
      <c r="BL28" s="65"/>
      <c r="BM28" s="65"/>
      <c r="BN28" s="65"/>
      <c r="BO28" s="65"/>
      <c r="BP28" s="65"/>
      <c r="BQ28" s="65"/>
      <c r="BR28" s="65">
        <v>39</v>
      </c>
      <c r="BS28" s="65">
        <v>40</v>
      </c>
      <c r="BT28" s="65"/>
      <c r="BU28" s="65"/>
      <c r="BV28" s="65"/>
      <c r="BW28" s="65"/>
      <c r="BX28" s="65"/>
      <c r="BY28" s="65"/>
      <c r="BZ28" s="65"/>
      <c r="CA28" s="65"/>
      <c r="CB28" s="65">
        <v>469</v>
      </c>
    </row>
    <row r="29" spans="1:80" x14ac:dyDescent="0.45">
      <c r="A29" s="61" t="s">
        <v>60</v>
      </c>
      <c r="B29" s="61" t="s">
        <v>103</v>
      </c>
      <c r="C29" s="61" t="s">
        <v>108</v>
      </c>
      <c r="D29" s="61" t="s">
        <v>69</v>
      </c>
      <c r="E29" s="61" t="s">
        <v>109</v>
      </c>
      <c r="F29" s="61" t="s">
        <v>110</v>
      </c>
      <c r="G29" s="61" t="s">
        <v>111</v>
      </c>
      <c r="H29" s="59">
        <v>249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>
        <v>30</v>
      </c>
      <c r="AK29" s="65">
        <v>30</v>
      </c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>
        <v>60</v>
      </c>
    </row>
    <row r="30" spans="1:80" x14ac:dyDescent="0.45">
      <c r="A30" s="61" t="s">
        <v>60</v>
      </c>
      <c r="B30" s="61" t="s">
        <v>103</v>
      </c>
      <c r="C30" s="61" t="s">
        <v>119</v>
      </c>
      <c r="D30" s="61" t="s">
        <v>10</v>
      </c>
      <c r="E30" s="61" t="s">
        <v>24</v>
      </c>
      <c r="F30" s="61" t="s">
        <v>120</v>
      </c>
      <c r="G30" s="61" t="s">
        <v>121</v>
      </c>
      <c r="H30" s="59">
        <v>248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>
        <v>40</v>
      </c>
      <c r="AC30" s="65">
        <v>42</v>
      </c>
      <c r="AD30" s="65"/>
      <c r="AE30" s="65"/>
      <c r="AF30" s="65"/>
      <c r="AG30" s="65"/>
      <c r="AH30" s="65"/>
      <c r="AI30" s="65"/>
      <c r="AJ30" s="65">
        <v>30</v>
      </c>
      <c r="AK30" s="65">
        <v>30</v>
      </c>
      <c r="AL30" s="65">
        <v>51</v>
      </c>
      <c r="AM30" s="65">
        <v>53</v>
      </c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>
        <v>246</v>
      </c>
    </row>
    <row r="31" spans="1:80" x14ac:dyDescent="0.45">
      <c r="A31" s="61" t="s">
        <v>60</v>
      </c>
      <c r="B31" s="61" t="s">
        <v>103</v>
      </c>
      <c r="C31" s="61" t="s">
        <v>125</v>
      </c>
      <c r="D31" s="61" t="s">
        <v>27</v>
      </c>
      <c r="E31" s="61" t="s">
        <v>29</v>
      </c>
      <c r="F31" s="61" t="s">
        <v>126</v>
      </c>
      <c r="G31" s="61" t="s">
        <v>127</v>
      </c>
      <c r="H31" s="59">
        <v>231</v>
      </c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>
        <v>30</v>
      </c>
      <c r="AK31" s="65">
        <v>30</v>
      </c>
      <c r="AL31" s="65">
        <v>51</v>
      </c>
      <c r="AM31" s="65">
        <v>53</v>
      </c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>
        <v>164</v>
      </c>
    </row>
    <row r="32" spans="1:80" x14ac:dyDescent="0.45">
      <c r="A32" s="61" t="s">
        <v>60</v>
      </c>
      <c r="B32" s="61" t="s">
        <v>103</v>
      </c>
      <c r="C32" s="61" t="s">
        <v>122</v>
      </c>
      <c r="D32" s="61" t="s">
        <v>61</v>
      </c>
      <c r="E32" s="61" t="s">
        <v>24</v>
      </c>
      <c r="F32" s="61" t="s">
        <v>123</v>
      </c>
      <c r="G32" s="61" t="s">
        <v>124</v>
      </c>
      <c r="H32" s="59">
        <v>230</v>
      </c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>
        <v>40</v>
      </c>
      <c r="AW32" s="65">
        <v>38</v>
      </c>
      <c r="AX32" s="65">
        <v>40</v>
      </c>
      <c r="AY32" s="65">
        <v>38</v>
      </c>
      <c r="AZ32" s="65"/>
      <c r="BA32" s="65"/>
      <c r="BB32" s="65"/>
      <c r="BC32" s="65"/>
      <c r="BD32" s="65"/>
      <c r="BE32" s="65"/>
      <c r="BF32" s="65"/>
      <c r="BG32" s="65"/>
      <c r="BH32" s="65">
        <v>39</v>
      </c>
      <c r="BI32" s="65">
        <v>36</v>
      </c>
      <c r="BJ32" s="65">
        <v>37</v>
      </c>
      <c r="BK32" s="65">
        <v>39</v>
      </c>
      <c r="BL32" s="65"/>
      <c r="BM32" s="65"/>
      <c r="BN32" s="65"/>
      <c r="BO32" s="65"/>
      <c r="BP32" s="65"/>
      <c r="BQ32" s="65"/>
      <c r="BR32" s="65">
        <v>39</v>
      </c>
      <c r="BS32" s="65">
        <v>40</v>
      </c>
      <c r="BT32" s="65"/>
      <c r="BU32" s="65"/>
      <c r="BV32" s="65"/>
      <c r="BW32" s="65"/>
      <c r="BX32" s="65">
        <v>39</v>
      </c>
      <c r="BY32" s="65">
        <v>39</v>
      </c>
      <c r="BZ32" s="65"/>
      <c r="CA32" s="65"/>
      <c r="CB32" s="65">
        <v>464</v>
      </c>
    </row>
    <row r="33" spans="1:80" x14ac:dyDescent="0.45">
      <c r="A33" s="61" t="s">
        <v>60</v>
      </c>
      <c r="B33" s="61" t="s">
        <v>103</v>
      </c>
      <c r="C33" s="61" t="s">
        <v>116</v>
      </c>
      <c r="D33" s="61" t="s">
        <v>5</v>
      </c>
      <c r="E33" s="61" t="s">
        <v>7</v>
      </c>
      <c r="F33" s="61" t="s">
        <v>117</v>
      </c>
      <c r="G33" s="61" t="s">
        <v>118</v>
      </c>
      <c r="H33" s="59">
        <v>199</v>
      </c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>
        <v>40</v>
      </c>
      <c r="AC33" s="65">
        <v>42</v>
      </c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>
        <v>40</v>
      </c>
      <c r="AW33" s="65">
        <v>38</v>
      </c>
      <c r="AX33" s="65">
        <v>40</v>
      </c>
      <c r="AY33" s="65">
        <v>38</v>
      </c>
      <c r="AZ33" s="65"/>
      <c r="BA33" s="65"/>
      <c r="BB33" s="65"/>
      <c r="BC33" s="65"/>
      <c r="BD33" s="65"/>
      <c r="BE33" s="65"/>
      <c r="BF33" s="65"/>
      <c r="BG33" s="65"/>
      <c r="BH33" s="65">
        <v>39</v>
      </c>
      <c r="BI33" s="65">
        <v>38</v>
      </c>
      <c r="BJ33" s="65">
        <v>37</v>
      </c>
      <c r="BK33" s="65">
        <v>39</v>
      </c>
      <c r="BL33" s="65"/>
      <c r="BM33" s="65"/>
      <c r="BN33" s="65"/>
      <c r="BO33" s="65"/>
      <c r="BP33" s="65"/>
      <c r="BQ33" s="65"/>
      <c r="BR33" s="65">
        <v>39</v>
      </c>
      <c r="BS33" s="65">
        <v>40</v>
      </c>
      <c r="BT33" s="65"/>
      <c r="BU33" s="65"/>
      <c r="BV33" s="65"/>
      <c r="BW33" s="65"/>
      <c r="BX33" s="65">
        <v>39</v>
      </c>
      <c r="BY33" s="65">
        <v>39</v>
      </c>
      <c r="BZ33" s="65"/>
      <c r="CA33" s="65"/>
      <c r="CB33" s="65">
        <v>548</v>
      </c>
    </row>
    <row r="34" spans="1:80" x14ac:dyDescent="0.45">
      <c r="A34" s="61" t="s">
        <v>60</v>
      </c>
      <c r="B34" s="61" t="s">
        <v>103</v>
      </c>
      <c r="C34" s="61" t="s">
        <v>129</v>
      </c>
      <c r="D34" s="61" t="s">
        <v>128</v>
      </c>
      <c r="E34" s="61" t="s">
        <v>130</v>
      </c>
      <c r="F34" s="61" t="s">
        <v>131</v>
      </c>
      <c r="G34" s="61" t="s">
        <v>132</v>
      </c>
      <c r="H34" s="59">
        <v>125</v>
      </c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>
        <v>51</v>
      </c>
      <c r="AM34" s="65">
        <v>53</v>
      </c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>
        <v>104</v>
      </c>
    </row>
    <row r="35" spans="1:80" x14ac:dyDescent="0.45">
      <c r="A35" s="61" t="s">
        <v>60</v>
      </c>
      <c r="B35" s="61" t="s">
        <v>103</v>
      </c>
      <c r="C35" s="61" t="s">
        <v>133</v>
      </c>
      <c r="D35" s="61" t="s">
        <v>27</v>
      </c>
      <c r="E35" s="61" t="s">
        <v>134</v>
      </c>
      <c r="F35" s="61" t="s">
        <v>135</v>
      </c>
      <c r="G35" s="61" t="s">
        <v>136</v>
      </c>
      <c r="H35" s="59">
        <v>209</v>
      </c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>
        <v>51</v>
      </c>
      <c r="AM35" s="65">
        <v>53</v>
      </c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>
        <v>104</v>
      </c>
    </row>
    <row r="36" spans="1:80" x14ac:dyDescent="0.45">
      <c r="A36" s="61" t="s">
        <v>60</v>
      </c>
      <c r="B36" s="61" t="s">
        <v>103</v>
      </c>
      <c r="C36" s="61" t="s">
        <v>162</v>
      </c>
      <c r="D36" s="61" t="s">
        <v>161</v>
      </c>
      <c r="E36" s="61" t="s">
        <v>163</v>
      </c>
      <c r="F36" s="61" t="s">
        <v>90</v>
      </c>
      <c r="G36" s="61" t="s">
        <v>262</v>
      </c>
      <c r="H36" s="59">
        <v>160</v>
      </c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>
        <v>40</v>
      </c>
      <c r="AC36" s="65">
        <v>42</v>
      </c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>
        <v>40</v>
      </c>
      <c r="AW36" s="65">
        <v>38</v>
      </c>
      <c r="AX36" s="65">
        <v>38</v>
      </c>
      <c r="AY36" s="65">
        <v>38</v>
      </c>
      <c r="AZ36" s="65"/>
      <c r="BA36" s="65"/>
      <c r="BB36" s="65"/>
      <c r="BC36" s="65"/>
      <c r="BD36" s="65"/>
      <c r="BE36" s="65"/>
      <c r="BF36" s="65"/>
      <c r="BG36" s="65"/>
      <c r="BH36" s="65">
        <v>39</v>
      </c>
      <c r="BI36" s="65">
        <v>37</v>
      </c>
      <c r="BJ36" s="65">
        <v>37</v>
      </c>
      <c r="BK36" s="65">
        <v>39</v>
      </c>
      <c r="BL36" s="65"/>
      <c r="BM36" s="65"/>
      <c r="BN36" s="65"/>
      <c r="BO36" s="65"/>
      <c r="BP36" s="65"/>
      <c r="BQ36" s="65"/>
      <c r="BR36" s="65">
        <v>39</v>
      </c>
      <c r="BS36" s="65">
        <v>40</v>
      </c>
      <c r="BT36" s="65"/>
      <c r="BU36" s="65"/>
      <c r="BV36" s="65"/>
      <c r="BW36" s="65"/>
      <c r="BX36" s="65">
        <v>39</v>
      </c>
      <c r="BY36" s="65">
        <v>39</v>
      </c>
      <c r="BZ36" s="65"/>
      <c r="CA36" s="65"/>
      <c r="CB36" s="65">
        <v>545</v>
      </c>
    </row>
    <row r="37" spans="1:80" x14ac:dyDescent="0.45">
      <c r="A37" s="61" t="s">
        <v>60</v>
      </c>
      <c r="B37" s="61" t="s">
        <v>103</v>
      </c>
      <c r="C37" s="61" t="s">
        <v>150</v>
      </c>
      <c r="D37" s="61" t="s">
        <v>74</v>
      </c>
      <c r="E37" s="61" t="s">
        <v>151</v>
      </c>
      <c r="F37" s="61" t="s">
        <v>152</v>
      </c>
      <c r="G37" s="61" t="s">
        <v>153</v>
      </c>
      <c r="H37" s="59">
        <v>250</v>
      </c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>
        <v>40</v>
      </c>
      <c r="AW37" s="65">
        <v>38</v>
      </c>
      <c r="AX37" s="65">
        <v>40</v>
      </c>
      <c r="AY37" s="65">
        <v>38</v>
      </c>
      <c r="AZ37" s="65"/>
      <c r="BA37" s="65"/>
      <c r="BB37" s="65"/>
      <c r="BC37" s="65"/>
      <c r="BD37" s="65"/>
      <c r="BE37" s="65"/>
      <c r="BF37" s="65"/>
      <c r="BG37" s="65"/>
      <c r="BH37" s="65">
        <v>39</v>
      </c>
      <c r="BI37" s="65">
        <v>38</v>
      </c>
      <c r="BJ37" s="65">
        <v>37</v>
      </c>
      <c r="BK37" s="65">
        <v>39</v>
      </c>
      <c r="BL37" s="65"/>
      <c r="BM37" s="65"/>
      <c r="BN37" s="65"/>
      <c r="BO37" s="65"/>
      <c r="BP37" s="65"/>
      <c r="BQ37" s="65"/>
      <c r="BR37" s="65">
        <v>39</v>
      </c>
      <c r="BS37" s="65">
        <v>40</v>
      </c>
      <c r="BT37" s="65"/>
      <c r="BU37" s="65"/>
      <c r="BV37" s="65"/>
      <c r="BW37" s="65"/>
      <c r="BX37" s="65"/>
      <c r="BY37" s="65"/>
      <c r="BZ37" s="65"/>
      <c r="CA37" s="65"/>
      <c r="CB37" s="65">
        <v>388</v>
      </c>
    </row>
    <row r="38" spans="1:80" x14ac:dyDescent="0.45">
      <c r="A38" s="61" t="s">
        <v>60</v>
      </c>
      <c r="B38" s="61" t="s">
        <v>103</v>
      </c>
      <c r="C38" s="61" t="s">
        <v>147</v>
      </c>
      <c r="D38" s="61" t="s">
        <v>78</v>
      </c>
      <c r="E38" s="61" t="s">
        <v>148</v>
      </c>
      <c r="F38" s="61" t="s">
        <v>149</v>
      </c>
      <c r="G38" s="61" t="s">
        <v>262</v>
      </c>
      <c r="H38" s="59">
        <v>335</v>
      </c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>
        <v>40</v>
      </c>
      <c r="AW38" s="65">
        <v>38</v>
      </c>
      <c r="AX38" s="65">
        <v>39</v>
      </c>
      <c r="AY38" s="65">
        <v>38</v>
      </c>
      <c r="AZ38" s="65"/>
      <c r="BA38" s="65"/>
      <c r="BB38" s="65"/>
      <c r="BC38" s="65"/>
      <c r="BD38" s="65"/>
      <c r="BE38" s="65"/>
      <c r="BF38" s="65"/>
      <c r="BG38" s="65"/>
      <c r="BH38" s="65">
        <v>39</v>
      </c>
      <c r="BI38" s="65">
        <v>36</v>
      </c>
      <c r="BJ38" s="65">
        <v>37</v>
      </c>
      <c r="BK38" s="65">
        <v>39</v>
      </c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>
        <v>306</v>
      </c>
    </row>
    <row r="39" spans="1:80" x14ac:dyDescent="0.45">
      <c r="A39" s="61" t="s">
        <v>60</v>
      </c>
      <c r="B39" s="61" t="s">
        <v>103</v>
      </c>
      <c r="C39" s="61" t="s">
        <v>141</v>
      </c>
      <c r="D39" s="61" t="s">
        <v>74</v>
      </c>
      <c r="E39" s="61" t="s">
        <v>142</v>
      </c>
      <c r="F39" s="61" t="s">
        <v>143</v>
      </c>
      <c r="G39" s="61" t="s">
        <v>144</v>
      </c>
      <c r="H39" s="59">
        <v>185</v>
      </c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>
        <v>40</v>
      </c>
      <c r="AC39" s="65">
        <v>42</v>
      </c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>
        <v>40</v>
      </c>
      <c r="AW39" s="65">
        <v>38</v>
      </c>
      <c r="AX39" s="65">
        <v>40</v>
      </c>
      <c r="AY39" s="65">
        <v>38</v>
      </c>
      <c r="AZ39" s="65"/>
      <c r="BA39" s="65"/>
      <c r="BB39" s="65"/>
      <c r="BC39" s="65"/>
      <c r="BD39" s="65"/>
      <c r="BE39" s="65"/>
      <c r="BF39" s="65"/>
      <c r="BG39" s="65"/>
      <c r="BH39" s="65">
        <v>39</v>
      </c>
      <c r="BI39" s="65">
        <v>37</v>
      </c>
      <c r="BJ39" s="65">
        <v>37</v>
      </c>
      <c r="BK39" s="65">
        <v>39</v>
      </c>
      <c r="BL39" s="65"/>
      <c r="BM39" s="65"/>
      <c r="BN39" s="65"/>
      <c r="BO39" s="65"/>
      <c r="BP39" s="65"/>
      <c r="BQ39" s="65"/>
      <c r="BR39" s="65">
        <v>39</v>
      </c>
      <c r="BS39" s="65">
        <v>40</v>
      </c>
      <c r="BT39" s="65"/>
      <c r="BU39" s="65"/>
      <c r="BV39" s="65"/>
      <c r="BW39" s="65"/>
      <c r="BX39" s="65">
        <v>39</v>
      </c>
      <c r="BY39" s="65">
        <v>39</v>
      </c>
      <c r="BZ39" s="65"/>
      <c r="CA39" s="65"/>
      <c r="CB39" s="65">
        <v>547</v>
      </c>
    </row>
    <row r="40" spans="1:80" x14ac:dyDescent="0.45">
      <c r="A40" s="61" t="s">
        <v>60</v>
      </c>
      <c r="B40" s="61" t="s">
        <v>103</v>
      </c>
      <c r="C40" s="61" t="s">
        <v>104</v>
      </c>
      <c r="D40" s="61" t="s">
        <v>10</v>
      </c>
      <c r="E40" s="61" t="s">
        <v>105</v>
      </c>
      <c r="F40" s="61" t="s">
        <v>106</v>
      </c>
      <c r="G40" s="61" t="s">
        <v>107</v>
      </c>
      <c r="H40" s="59">
        <v>220</v>
      </c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>
        <v>29</v>
      </c>
      <c r="AK40" s="65">
        <v>30</v>
      </c>
      <c r="AL40" s="65">
        <v>51</v>
      </c>
      <c r="AM40" s="65">
        <v>53</v>
      </c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>
        <v>163</v>
      </c>
    </row>
    <row r="41" spans="1:80" x14ac:dyDescent="0.45">
      <c r="A41" s="61" t="s">
        <v>60</v>
      </c>
      <c r="B41" s="61" t="s">
        <v>103</v>
      </c>
      <c r="C41" s="61" t="s">
        <v>137</v>
      </c>
      <c r="D41" s="61" t="s">
        <v>69</v>
      </c>
      <c r="E41" s="61" t="s">
        <v>138</v>
      </c>
      <c r="F41" s="61" t="s">
        <v>139</v>
      </c>
      <c r="G41" s="61" t="s">
        <v>140</v>
      </c>
      <c r="H41" s="59">
        <v>253</v>
      </c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>
        <v>51</v>
      </c>
      <c r="AM41" s="65">
        <v>53</v>
      </c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  <c r="CA41" s="65"/>
      <c r="CB41" s="65">
        <v>104</v>
      </c>
    </row>
    <row r="42" spans="1:80" x14ac:dyDescent="0.45">
      <c r="A42" s="61" t="s">
        <v>60</v>
      </c>
      <c r="B42" s="61" t="s">
        <v>103</v>
      </c>
      <c r="C42" s="61" t="s">
        <v>157</v>
      </c>
      <c r="D42" s="61" t="s">
        <v>128</v>
      </c>
      <c r="E42" s="61" t="s">
        <v>158</v>
      </c>
      <c r="F42" s="61" t="s">
        <v>159</v>
      </c>
      <c r="G42" s="61" t="s">
        <v>160</v>
      </c>
      <c r="H42" s="59">
        <v>140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>
        <v>40</v>
      </c>
      <c r="AC42" s="65">
        <v>42</v>
      </c>
      <c r="AD42" s="65"/>
      <c r="AE42" s="65"/>
      <c r="AF42" s="65"/>
      <c r="AG42" s="65"/>
      <c r="AH42" s="65"/>
      <c r="AI42" s="65"/>
      <c r="AJ42" s="65">
        <v>30</v>
      </c>
      <c r="AK42" s="65">
        <v>30</v>
      </c>
      <c r="AL42" s="65">
        <v>51</v>
      </c>
      <c r="AM42" s="65">
        <v>53</v>
      </c>
      <c r="AN42" s="65"/>
      <c r="AO42" s="65"/>
      <c r="AP42" s="65"/>
      <c r="AQ42" s="65"/>
      <c r="AR42" s="65"/>
      <c r="AS42" s="65"/>
      <c r="AT42" s="65"/>
      <c r="AU42" s="65"/>
      <c r="AV42" s="65">
        <v>40</v>
      </c>
      <c r="AW42" s="65">
        <v>38</v>
      </c>
      <c r="AX42" s="65">
        <v>40</v>
      </c>
      <c r="AY42" s="65">
        <v>38</v>
      </c>
      <c r="AZ42" s="65"/>
      <c r="BA42" s="65"/>
      <c r="BB42" s="65"/>
      <c r="BC42" s="65"/>
      <c r="BD42" s="65"/>
      <c r="BE42" s="65"/>
      <c r="BF42" s="65"/>
      <c r="BG42" s="65"/>
      <c r="BH42" s="65">
        <v>39</v>
      </c>
      <c r="BI42" s="65">
        <v>38</v>
      </c>
      <c r="BJ42" s="65">
        <v>37</v>
      </c>
      <c r="BK42" s="65">
        <v>39</v>
      </c>
      <c r="BL42" s="65"/>
      <c r="BM42" s="65"/>
      <c r="BN42" s="65"/>
      <c r="BO42" s="65"/>
      <c r="BP42" s="65"/>
      <c r="BQ42" s="65"/>
      <c r="BR42" s="65">
        <v>39</v>
      </c>
      <c r="BS42" s="65">
        <v>40</v>
      </c>
      <c r="BT42" s="65"/>
      <c r="BU42" s="65"/>
      <c r="BV42" s="65"/>
      <c r="BW42" s="65"/>
      <c r="BX42" s="65">
        <v>39</v>
      </c>
      <c r="BY42" s="65">
        <v>39</v>
      </c>
      <c r="BZ42" s="65"/>
      <c r="CA42" s="65"/>
      <c r="CB42" s="65">
        <v>712</v>
      </c>
    </row>
    <row r="43" spans="1:80" x14ac:dyDescent="0.45">
      <c r="A43" s="61" t="s">
        <v>60</v>
      </c>
      <c r="B43" s="61" t="s">
        <v>164</v>
      </c>
      <c r="C43" s="61" t="s">
        <v>172</v>
      </c>
      <c r="D43" s="61" t="s">
        <v>10</v>
      </c>
      <c r="E43" s="61" t="s">
        <v>173</v>
      </c>
      <c r="F43" s="61" t="s">
        <v>174</v>
      </c>
      <c r="G43" s="61" t="s">
        <v>175</v>
      </c>
      <c r="H43" s="59">
        <v>218</v>
      </c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>
        <v>31</v>
      </c>
      <c r="AO43" s="65">
        <v>31</v>
      </c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>
        <v>62</v>
      </c>
    </row>
    <row r="44" spans="1:80" x14ac:dyDescent="0.45">
      <c r="A44" s="61" t="s">
        <v>60</v>
      </c>
      <c r="B44" s="61" t="s">
        <v>164</v>
      </c>
      <c r="C44" s="61" t="s">
        <v>176</v>
      </c>
      <c r="D44" s="61" t="s">
        <v>61</v>
      </c>
      <c r="E44" s="61" t="s">
        <v>24</v>
      </c>
      <c r="F44" s="61" t="s">
        <v>177</v>
      </c>
      <c r="G44" s="61" t="s">
        <v>178</v>
      </c>
      <c r="H44" s="59">
        <v>240</v>
      </c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>
        <v>36</v>
      </c>
      <c r="BA44" s="65">
        <v>36</v>
      </c>
      <c r="BB44" s="65">
        <v>35</v>
      </c>
      <c r="BC44" s="65">
        <v>36</v>
      </c>
      <c r="BD44" s="65"/>
      <c r="BE44" s="65"/>
      <c r="BF44" s="65"/>
      <c r="BG44" s="65"/>
      <c r="BH44" s="65"/>
      <c r="BI44" s="65"/>
      <c r="BJ44" s="65"/>
      <c r="BK44" s="65"/>
      <c r="BL44" s="65">
        <v>36</v>
      </c>
      <c r="BM44" s="65">
        <v>34</v>
      </c>
      <c r="BN44" s="65">
        <v>35</v>
      </c>
      <c r="BO44" s="65">
        <v>35</v>
      </c>
      <c r="BP44" s="65"/>
      <c r="BQ44" s="65"/>
      <c r="BR44" s="65"/>
      <c r="BS44" s="65"/>
      <c r="BT44" s="65">
        <v>34</v>
      </c>
      <c r="BU44" s="65">
        <v>34</v>
      </c>
      <c r="BV44" s="65"/>
      <c r="BW44" s="65"/>
      <c r="BX44" s="65"/>
      <c r="BY44" s="65"/>
      <c r="BZ44" s="65">
        <v>37</v>
      </c>
      <c r="CA44" s="65">
        <v>34</v>
      </c>
      <c r="CB44" s="65">
        <v>422</v>
      </c>
    </row>
    <row r="45" spans="1:80" x14ac:dyDescent="0.45">
      <c r="A45" s="61" t="s">
        <v>60</v>
      </c>
      <c r="B45" s="61" t="s">
        <v>164</v>
      </c>
      <c r="C45" s="61" t="s">
        <v>197</v>
      </c>
      <c r="D45" s="61" t="s">
        <v>196</v>
      </c>
      <c r="E45" s="61" t="s">
        <v>198</v>
      </c>
      <c r="F45" s="61" t="s">
        <v>90</v>
      </c>
      <c r="G45" s="61" t="s">
        <v>262</v>
      </c>
      <c r="H45" s="59">
        <v>145</v>
      </c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>
        <v>37</v>
      </c>
      <c r="AE45" s="65">
        <v>38</v>
      </c>
      <c r="AF45" s="65"/>
      <c r="AG45" s="65"/>
      <c r="AH45" s="65"/>
      <c r="AI45" s="65"/>
      <c r="AJ45" s="65"/>
      <c r="AK45" s="65"/>
      <c r="AL45" s="65"/>
      <c r="AM45" s="65"/>
      <c r="AN45" s="65">
        <v>31</v>
      </c>
      <c r="AO45" s="65">
        <v>31</v>
      </c>
      <c r="AP45" s="65">
        <v>40</v>
      </c>
      <c r="AQ45" s="65">
        <v>39</v>
      </c>
      <c r="AR45" s="65"/>
      <c r="AS45" s="65"/>
      <c r="AT45" s="65"/>
      <c r="AU45" s="65"/>
      <c r="AV45" s="65"/>
      <c r="AW45" s="65"/>
      <c r="AX45" s="65"/>
      <c r="AY45" s="65"/>
      <c r="AZ45" s="65">
        <v>36</v>
      </c>
      <c r="BA45" s="65">
        <v>36</v>
      </c>
      <c r="BB45" s="65">
        <v>30</v>
      </c>
      <c r="BC45" s="65">
        <v>30</v>
      </c>
      <c r="BD45" s="65"/>
      <c r="BE45" s="65"/>
      <c r="BF45" s="65"/>
      <c r="BG45" s="65"/>
      <c r="BH45" s="65"/>
      <c r="BI45" s="65"/>
      <c r="BJ45" s="65"/>
      <c r="BK45" s="65"/>
      <c r="BL45" s="65">
        <v>36</v>
      </c>
      <c r="BM45" s="65">
        <v>34</v>
      </c>
      <c r="BN45" s="65">
        <v>35</v>
      </c>
      <c r="BO45" s="65">
        <v>35</v>
      </c>
      <c r="BP45" s="65"/>
      <c r="BQ45" s="65"/>
      <c r="BR45" s="65"/>
      <c r="BS45" s="65"/>
      <c r="BT45" s="65">
        <v>34</v>
      </c>
      <c r="BU45" s="65">
        <v>34</v>
      </c>
      <c r="BV45" s="65"/>
      <c r="BW45" s="65"/>
      <c r="BX45" s="65"/>
      <c r="BY45" s="65"/>
      <c r="BZ45" s="65">
        <v>37</v>
      </c>
      <c r="CA45" s="65">
        <v>34</v>
      </c>
      <c r="CB45" s="65">
        <v>627</v>
      </c>
    </row>
    <row r="46" spans="1:80" x14ac:dyDescent="0.45">
      <c r="A46" s="61" t="s">
        <v>60</v>
      </c>
      <c r="B46" s="61" t="s">
        <v>164</v>
      </c>
      <c r="C46" s="61" t="s">
        <v>189</v>
      </c>
      <c r="D46" s="61" t="s">
        <v>128</v>
      </c>
      <c r="E46" s="61" t="s">
        <v>130</v>
      </c>
      <c r="F46" s="61" t="s">
        <v>190</v>
      </c>
      <c r="G46" s="61" t="s">
        <v>191</v>
      </c>
      <c r="H46" s="59">
        <v>125</v>
      </c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>
        <v>40</v>
      </c>
      <c r="AQ46" s="65">
        <v>39</v>
      </c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>
        <v>79</v>
      </c>
    </row>
    <row r="47" spans="1:80" x14ac:dyDescent="0.45">
      <c r="A47" s="61" t="s">
        <v>60</v>
      </c>
      <c r="B47" s="61" t="s">
        <v>164</v>
      </c>
      <c r="C47" s="61" t="s">
        <v>185</v>
      </c>
      <c r="D47" s="61" t="s">
        <v>69</v>
      </c>
      <c r="E47" s="61" t="s">
        <v>186</v>
      </c>
      <c r="F47" s="61" t="s">
        <v>187</v>
      </c>
      <c r="G47" s="61" t="s">
        <v>188</v>
      </c>
      <c r="H47" s="59">
        <v>241</v>
      </c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>
        <v>40</v>
      </c>
      <c r="AQ47" s="65">
        <v>39</v>
      </c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>
        <v>79</v>
      </c>
    </row>
    <row r="48" spans="1:80" x14ac:dyDescent="0.45">
      <c r="A48" s="61" t="s">
        <v>60</v>
      </c>
      <c r="B48" s="61" t="s">
        <v>164</v>
      </c>
      <c r="C48" s="61" t="s">
        <v>182</v>
      </c>
      <c r="D48" s="61" t="s">
        <v>10</v>
      </c>
      <c r="E48" s="61" t="s">
        <v>180</v>
      </c>
      <c r="F48" s="61" t="s">
        <v>183</v>
      </c>
      <c r="G48" s="61" t="s">
        <v>184</v>
      </c>
      <c r="H48" s="59">
        <v>168</v>
      </c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>
        <v>31</v>
      </c>
      <c r="AO48" s="65">
        <v>31</v>
      </c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  <c r="CA48" s="65"/>
      <c r="CB48" s="65">
        <v>62</v>
      </c>
    </row>
    <row r="49" spans="1:80" x14ac:dyDescent="0.45">
      <c r="A49" s="61" t="s">
        <v>60</v>
      </c>
      <c r="B49" s="61" t="s">
        <v>164</v>
      </c>
      <c r="C49" s="61" t="s">
        <v>179</v>
      </c>
      <c r="D49" s="59" t="s">
        <v>10</v>
      </c>
      <c r="E49" s="59" t="s">
        <v>180</v>
      </c>
      <c r="F49" s="61" t="s">
        <v>181</v>
      </c>
      <c r="G49" s="61" t="s">
        <v>121</v>
      </c>
      <c r="H49" s="59">
        <v>198</v>
      </c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>
        <v>40</v>
      </c>
      <c r="AQ49" s="65">
        <v>39</v>
      </c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>
        <v>79</v>
      </c>
    </row>
    <row r="50" spans="1:80" x14ac:dyDescent="0.45">
      <c r="A50" s="61" t="s">
        <v>60</v>
      </c>
      <c r="B50" s="61" t="s">
        <v>164</v>
      </c>
      <c r="C50" s="61" t="s">
        <v>165</v>
      </c>
      <c r="D50" s="59" t="s">
        <v>10</v>
      </c>
      <c r="E50" s="61" t="s">
        <v>166</v>
      </c>
      <c r="F50" s="61" t="s">
        <v>167</v>
      </c>
      <c r="G50" s="61" t="s">
        <v>168</v>
      </c>
      <c r="H50" s="59">
        <v>210</v>
      </c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>
        <v>31</v>
      </c>
      <c r="AO50" s="65">
        <v>31</v>
      </c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>
        <v>62</v>
      </c>
    </row>
    <row r="51" spans="1:80" x14ac:dyDescent="0.45">
      <c r="A51" s="61" t="s">
        <v>60</v>
      </c>
      <c r="B51" s="61" t="s">
        <v>164</v>
      </c>
      <c r="C51" s="61" t="s">
        <v>169</v>
      </c>
      <c r="D51" s="61" t="s">
        <v>69</v>
      </c>
      <c r="E51" s="61" t="s">
        <v>109</v>
      </c>
      <c r="F51" s="61" t="s">
        <v>170</v>
      </c>
      <c r="G51" s="61" t="s">
        <v>171</v>
      </c>
      <c r="H51" s="59">
        <v>232</v>
      </c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>
        <v>31</v>
      </c>
      <c r="AO51" s="65">
        <v>31</v>
      </c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>
        <v>62</v>
      </c>
    </row>
    <row r="52" spans="1:80" x14ac:dyDescent="0.45">
      <c r="A52" s="61" t="s">
        <v>60</v>
      </c>
      <c r="B52" s="61" t="s">
        <v>164</v>
      </c>
      <c r="C52" s="61" t="s">
        <v>192</v>
      </c>
      <c r="D52" s="61" t="s">
        <v>46</v>
      </c>
      <c r="E52" s="61" t="s">
        <v>193</v>
      </c>
      <c r="F52" s="61" t="s">
        <v>194</v>
      </c>
      <c r="G52" s="61" t="s">
        <v>195</v>
      </c>
      <c r="H52" s="59">
        <v>125</v>
      </c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>
        <v>38</v>
      </c>
      <c r="AE52" s="65">
        <v>38</v>
      </c>
      <c r="AF52" s="65"/>
      <c r="AG52" s="65"/>
      <c r="AH52" s="65"/>
      <c r="AI52" s="65"/>
      <c r="AJ52" s="65"/>
      <c r="AK52" s="65"/>
      <c r="AL52" s="65"/>
      <c r="AM52" s="65"/>
      <c r="AN52" s="65">
        <v>31</v>
      </c>
      <c r="AO52" s="65">
        <v>31</v>
      </c>
      <c r="AP52" s="65">
        <v>40</v>
      </c>
      <c r="AQ52" s="65">
        <v>39</v>
      </c>
      <c r="AR52" s="65"/>
      <c r="AS52" s="65"/>
      <c r="AT52" s="65"/>
      <c r="AU52" s="65"/>
      <c r="AV52" s="65"/>
      <c r="AW52" s="65"/>
      <c r="AX52" s="65"/>
      <c r="AY52" s="65"/>
      <c r="AZ52" s="65">
        <v>36</v>
      </c>
      <c r="BA52" s="65">
        <v>36</v>
      </c>
      <c r="BB52" s="65">
        <v>35</v>
      </c>
      <c r="BC52" s="65">
        <v>37</v>
      </c>
      <c r="BD52" s="65"/>
      <c r="BE52" s="65"/>
      <c r="BF52" s="65"/>
      <c r="BG52" s="65"/>
      <c r="BH52" s="65"/>
      <c r="BI52" s="65"/>
      <c r="BJ52" s="65"/>
      <c r="BK52" s="65"/>
      <c r="BL52" s="65">
        <v>36</v>
      </c>
      <c r="BM52" s="65">
        <v>34</v>
      </c>
      <c r="BN52" s="65">
        <v>35</v>
      </c>
      <c r="BO52" s="65">
        <v>35</v>
      </c>
      <c r="BP52" s="65"/>
      <c r="BQ52" s="65"/>
      <c r="BR52" s="65"/>
      <c r="BS52" s="65"/>
      <c r="BT52" s="65">
        <v>34</v>
      </c>
      <c r="BU52" s="65">
        <v>34</v>
      </c>
      <c r="BV52" s="65"/>
      <c r="BW52" s="65"/>
      <c r="BX52" s="65"/>
      <c r="BY52" s="65"/>
      <c r="BZ52" s="65">
        <v>37</v>
      </c>
      <c r="CA52" s="65">
        <v>34</v>
      </c>
      <c r="CB52" s="65">
        <v>640</v>
      </c>
    </row>
    <row r="53" spans="1:80" x14ac:dyDescent="0.45">
      <c r="A53" s="61" t="s">
        <v>245</v>
      </c>
      <c r="B53" s="61" t="s">
        <v>4</v>
      </c>
      <c r="C53" s="61" t="s">
        <v>50</v>
      </c>
      <c r="D53" s="59" t="s">
        <v>46</v>
      </c>
      <c r="E53" s="59" t="s">
        <v>51</v>
      </c>
      <c r="F53" s="59" t="s">
        <v>52</v>
      </c>
      <c r="G53" s="59" t="s">
        <v>53</v>
      </c>
      <c r="H53" s="59">
        <v>155</v>
      </c>
      <c r="I53" s="65">
        <v>20</v>
      </c>
      <c r="J53" s="65">
        <v>21</v>
      </c>
      <c r="K53" s="65">
        <v>20</v>
      </c>
      <c r="L53" s="65"/>
      <c r="M53" s="65"/>
      <c r="N53" s="65"/>
      <c r="O53" s="65"/>
      <c r="P53" s="65"/>
      <c r="Q53" s="65"/>
      <c r="R53" s="65"/>
      <c r="S53" s="65">
        <v>10</v>
      </c>
      <c r="T53" s="65"/>
      <c r="U53" s="65"/>
      <c r="V53" s="65"/>
      <c r="W53" s="65">
        <v>7</v>
      </c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>
        <v>78</v>
      </c>
    </row>
    <row r="54" spans="1:80" x14ac:dyDescent="0.45">
      <c r="A54" s="61" t="s">
        <v>245</v>
      </c>
      <c r="B54" s="61" t="s">
        <v>4</v>
      </c>
      <c r="C54" s="61" t="s">
        <v>199</v>
      </c>
      <c r="D54" s="61" t="s">
        <v>61</v>
      </c>
      <c r="E54" s="61" t="s">
        <v>200</v>
      </c>
      <c r="F54" s="61" t="s">
        <v>201</v>
      </c>
      <c r="G54" s="61" t="s">
        <v>202</v>
      </c>
      <c r="H54" s="59">
        <v>160</v>
      </c>
      <c r="I54" s="65">
        <v>20</v>
      </c>
      <c r="J54" s="65">
        <v>21</v>
      </c>
      <c r="K54" s="65">
        <v>20</v>
      </c>
      <c r="L54" s="65"/>
      <c r="M54" s="65"/>
      <c r="N54" s="65"/>
      <c r="O54" s="65"/>
      <c r="P54" s="65"/>
      <c r="Q54" s="65"/>
      <c r="R54" s="65"/>
      <c r="S54" s="65">
        <v>10</v>
      </c>
      <c r="T54" s="65"/>
      <c r="U54" s="65"/>
      <c r="V54" s="65"/>
      <c r="W54" s="65">
        <v>7</v>
      </c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>
        <v>78</v>
      </c>
    </row>
    <row r="55" spans="1:80" x14ac:dyDescent="0.45">
      <c r="A55" s="61" t="s">
        <v>245</v>
      </c>
      <c r="B55" s="61" t="s">
        <v>4</v>
      </c>
      <c r="C55" s="61" t="s">
        <v>94</v>
      </c>
      <c r="D55" s="61" t="s">
        <v>93</v>
      </c>
      <c r="E55" s="61" t="s">
        <v>95</v>
      </c>
      <c r="F55" s="61" t="s">
        <v>96</v>
      </c>
      <c r="G55" s="61" t="s">
        <v>97</v>
      </c>
      <c r="H55" s="59">
        <v>278</v>
      </c>
      <c r="I55" s="65">
        <v>20</v>
      </c>
      <c r="J55" s="65">
        <v>21</v>
      </c>
      <c r="K55" s="65">
        <v>20</v>
      </c>
      <c r="L55" s="65"/>
      <c r="M55" s="65"/>
      <c r="N55" s="65"/>
      <c r="O55" s="65"/>
      <c r="P55" s="65"/>
      <c r="Q55" s="65"/>
      <c r="R55" s="65"/>
      <c r="S55" s="65">
        <v>10</v>
      </c>
      <c r="T55" s="65"/>
      <c r="U55" s="65"/>
      <c r="V55" s="65"/>
      <c r="W55" s="65">
        <v>7</v>
      </c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  <c r="CA55" s="65"/>
      <c r="CB55" s="65">
        <v>78</v>
      </c>
    </row>
    <row r="56" spans="1:80" x14ac:dyDescent="0.45">
      <c r="A56" s="61" t="s">
        <v>245</v>
      </c>
      <c r="B56" s="61" t="s">
        <v>4</v>
      </c>
      <c r="C56" s="61" t="s">
        <v>62</v>
      </c>
      <c r="D56" s="61" t="s">
        <v>61</v>
      </c>
      <c r="E56" s="61" t="s">
        <v>63</v>
      </c>
      <c r="F56" s="61" t="s">
        <v>64</v>
      </c>
      <c r="G56" s="61" t="s">
        <v>65</v>
      </c>
      <c r="H56" s="59">
        <v>240</v>
      </c>
      <c r="I56" s="65">
        <v>20</v>
      </c>
      <c r="J56" s="65">
        <v>21</v>
      </c>
      <c r="K56" s="65">
        <v>20</v>
      </c>
      <c r="L56" s="65"/>
      <c r="M56" s="65"/>
      <c r="N56" s="65"/>
      <c r="O56" s="65"/>
      <c r="P56" s="65"/>
      <c r="Q56" s="65"/>
      <c r="R56" s="65"/>
      <c r="S56" s="65">
        <v>10</v>
      </c>
      <c r="T56" s="65"/>
      <c r="U56" s="65"/>
      <c r="V56" s="65"/>
      <c r="W56" s="65">
        <v>7</v>
      </c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  <c r="CA56" s="65"/>
      <c r="CB56" s="65">
        <v>78</v>
      </c>
    </row>
    <row r="57" spans="1:80" x14ac:dyDescent="0.45">
      <c r="A57" s="61" t="s">
        <v>245</v>
      </c>
      <c r="B57" s="61" t="s">
        <v>4</v>
      </c>
      <c r="C57" s="61" t="s">
        <v>203</v>
      </c>
      <c r="D57" s="61" t="s">
        <v>69</v>
      </c>
      <c r="E57" s="61" t="s">
        <v>204</v>
      </c>
      <c r="F57" s="61" t="s">
        <v>205</v>
      </c>
      <c r="G57" s="61" t="s">
        <v>206</v>
      </c>
      <c r="H57" s="59">
        <v>187</v>
      </c>
      <c r="I57" s="65">
        <v>20</v>
      </c>
      <c r="J57" s="65">
        <v>21</v>
      </c>
      <c r="K57" s="65">
        <v>20</v>
      </c>
      <c r="L57" s="65"/>
      <c r="M57" s="65"/>
      <c r="N57" s="65"/>
      <c r="O57" s="65"/>
      <c r="P57" s="65"/>
      <c r="Q57" s="65"/>
      <c r="R57" s="65"/>
      <c r="S57" s="65">
        <v>10</v>
      </c>
      <c r="T57" s="65"/>
      <c r="U57" s="65"/>
      <c r="V57" s="65"/>
      <c r="W57" s="65">
        <v>7</v>
      </c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  <c r="CA57" s="65"/>
      <c r="CB57" s="65">
        <v>78</v>
      </c>
    </row>
    <row r="58" spans="1:80" x14ac:dyDescent="0.45">
      <c r="A58" s="61" t="s">
        <v>245</v>
      </c>
      <c r="B58" s="61" t="s">
        <v>4</v>
      </c>
      <c r="C58" s="61" t="s">
        <v>210</v>
      </c>
      <c r="D58" s="61" t="s">
        <v>61</v>
      </c>
      <c r="E58" s="61" t="s">
        <v>211</v>
      </c>
      <c r="F58" s="61" t="s">
        <v>212</v>
      </c>
      <c r="G58" s="61" t="s">
        <v>213</v>
      </c>
      <c r="H58" s="59">
        <v>210</v>
      </c>
      <c r="I58" s="65">
        <v>20</v>
      </c>
      <c r="J58" s="65">
        <v>21</v>
      </c>
      <c r="K58" s="65">
        <v>20</v>
      </c>
      <c r="L58" s="65"/>
      <c r="M58" s="65"/>
      <c r="N58" s="65"/>
      <c r="O58" s="65"/>
      <c r="P58" s="65"/>
      <c r="Q58" s="65"/>
      <c r="R58" s="65"/>
      <c r="S58" s="65">
        <v>10</v>
      </c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  <c r="CA58" s="65"/>
      <c r="CB58" s="65">
        <v>71</v>
      </c>
    </row>
    <row r="59" spans="1:80" x14ac:dyDescent="0.45">
      <c r="A59" s="61" t="s">
        <v>245</v>
      </c>
      <c r="B59" s="61" t="s">
        <v>4</v>
      </c>
      <c r="C59" s="61" t="s">
        <v>47</v>
      </c>
      <c r="D59" s="61" t="s">
        <v>161</v>
      </c>
      <c r="E59" s="61" t="s">
        <v>214</v>
      </c>
      <c r="F59" s="61" t="s">
        <v>215</v>
      </c>
      <c r="G59" s="61" t="s">
        <v>216</v>
      </c>
      <c r="H59" s="59">
        <v>160</v>
      </c>
      <c r="I59" s="65">
        <v>20</v>
      </c>
      <c r="J59" s="65">
        <v>21</v>
      </c>
      <c r="K59" s="65">
        <v>20</v>
      </c>
      <c r="L59" s="65"/>
      <c r="M59" s="65"/>
      <c r="N59" s="65"/>
      <c r="O59" s="65"/>
      <c r="P59" s="65"/>
      <c r="Q59" s="65"/>
      <c r="R59" s="65"/>
      <c r="S59" s="65">
        <v>10</v>
      </c>
      <c r="T59" s="65"/>
      <c r="U59" s="65"/>
      <c r="V59" s="65"/>
      <c r="W59" s="65">
        <v>7</v>
      </c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>
        <v>78</v>
      </c>
    </row>
    <row r="60" spans="1:80" x14ac:dyDescent="0.45">
      <c r="A60" s="61" t="s">
        <v>245</v>
      </c>
      <c r="B60" s="61" t="s">
        <v>4</v>
      </c>
      <c r="C60" s="61" t="s">
        <v>83</v>
      </c>
      <c r="D60" s="61" t="s">
        <v>74</v>
      </c>
      <c r="E60" s="61" t="s">
        <v>84</v>
      </c>
      <c r="F60" s="61" t="s">
        <v>85</v>
      </c>
      <c r="G60" s="61" t="s">
        <v>86</v>
      </c>
      <c r="H60" s="59">
        <v>200</v>
      </c>
      <c r="I60" s="65">
        <v>20</v>
      </c>
      <c r="J60" s="65">
        <v>21</v>
      </c>
      <c r="K60" s="65">
        <v>20</v>
      </c>
      <c r="L60" s="65"/>
      <c r="M60" s="65"/>
      <c r="N60" s="65"/>
      <c r="O60" s="65"/>
      <c r="P60" s="65"/>
      <c r="Q60" s="65"/>
      <c r="R60" s="65"/>
      <c r="S60" s="65">
        <v>10</v>
      </c>
      <c r="T60" s="65"/>
      <c r="U60" s="65"/>
      <c r="V60" s="65"/>
      <c r="W60" s="65">
        <v>7</v>
      </c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  <c r="CA60" s="65"/>
      <c r="CB60" s="65">
        <v>78</v>
      </c>
    </row>
    <row r="61" spans="1:80" x14ac:dyDescent="0.45">
      <c r="A61" s="61" t="s">
        <v>245</v>
      </c>
      <c r="B61" s="61" t="s">
        <v>4</v>
      </c>
      <c r="C61" s="61" t="s">
        <v>217</v>
      </c>
      <c r="D61" s="61" t="s">
        <v>69</v>
      </c>
      <c r="E61" s="61" t="s">
        <v>92</v>
      </c>
      <c r="F61" s="61" t="s">
        <v>90</v>
      </c>
      <c r="G61" s="61" t="s">
        <v>262</v>
      </c>
      <c r="H61" s="59">
        <v>285</v>
      </c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>
        <v>5</v>
      </c>
      <c r="U61" s="65"/>
      <c r="V61" s="65"/>
      <c r="W61" s="65">
        <v>7</v>
      </c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>
        <v>12</v>
      </c>
    </row>
    <row r="62" spans="1:80" x14ac:dyDescent="0.45">
      <c r="A62" s="61" t="s">
        <v>245</v>
      </c>
      <c r="B62" s="61" t="s">
        <v>4</v>
      </c>
      <c r="C62" s="61" t="s">
        <v>75</v>
      </c>
      <c r="D62" s="61" t="s">
        <v>78</v>
      </c>
      <c r="E62" s="61" t="s">
        <v>207</v>
      </c>
      <c r="F62" s="61" t="s">
        <v>208</v>
      </c>
      <c r="G62" s="61" t="s">
        <v>209</v>
      </c>
      <c r="H62" s="59">
        <v>230</v>
      </c>
      <c r="I62" s="65">
        <v>20</v>
      </c>
      <c r="J62" s="65">
        <v>21</v>
      </c>
      <c r="K62" s="65">
        <v>20</v>
      </c>
      <c r="L62" s="65"/>
      <c r="M62" s="65"/>
      <c r="N62" s="65"/>
      <c r="O62" s="65"/>
      <c r="P62" s="65"/>
      <c r="Q62" s="65"/>
      <c r="R62" s="65"/>
      <c r="S62" s="65">
        <v>10</v>
      </c>
      <c r="T62" s="65"/>
      <c r="U62" s="65"/>
      <c r="V62" s="65"/>
      <c r="W62" s="65">
        <v>7</v>
      </c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>
        <v>78</v>
      </c>
    </row>
    <row r="63" spans="1:80" x14ac:dyDescent="0.45">
      <c r="A63" s="61" t="s">
        <v>245</v>
      </c>
      <c r="B63" s="61" t="s">
        <v>103</v>
      </c>
      <c r="C63" s="61" t="s">
        <v>154</v>
      </c>
      <c r="D63" s="61" t="s">
        <v>93</v>
      </c>
      <c r="E63" s="61" t="s">
        <v>95</v>
      </c>
      <c r="F63" s="61" t="s">
        <v>155</v>
      </c>
      <c r="G63" s="61" t="s">
        <v>156</v>
      </c>
      <c r="H63" s="59">
        <v>278</v>
      </c>
      <c r="I63" s="65"/>
      <c r="J63" s="65"/>
      <c r="K63" s="65"/>
      <c r="L63" s="65">
        <v>16</v>
      </c>
      <c r="M63" s="65">
        <v>17</v>
      </c>
      <c r="N63" s="65">
        <v>16</v>
      </c>
      <c r="O63" s="65">
        <v>17</v>
      </c>
      <c r="P63" s="65"/>
      <c r="Q63" s="65"/>
      <c r="R63" s="65"/>
      <c r="S63" s="65"/>
      <c r="T63" s="65"/>
      <c r="U63" s="65">
        <v>10</v>
      </c>
      <c r="V63" s="65"/>
      <c r="W63" s="65"/>
      <c r="X63" s="65">
        <v>20</v>
      </c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>
        <v>96</v>
      </c>
    </row>
    <row r="64" spans="1:80" x14ac:dyDescent="0.45">
      <c r="A64" s="61" t="s">
        <v>245</v>
      </c>
      <c r="B64" s="61" t="s">
        <v>103</v>
      </c>
      <c r="C64" s="61" t="s">
        <v>221</v>
      </c>
      <c r="D64" s="61" t="s">
        <v>69</v>
      </c>
      <c r="E64" s="61" t="s">
        <v>222</v>
      </c>
      <c r="F64" s="61" t="s">
        <v>223</v>
      </c>
      <c r="G64" s="61" t="s">
        <v>224</v>
      </c>
      <c r="H64" s="59">
        <v>218</v>
      </c>
      <c r="I64" s="65"/>
      <c r="J64" s="65"/>
      <c r="K64" s="65"/>
      <c r="L64" s="65">
        <v>16</v>
      </c>
      <c r="M64" s="65">
        <v>17</v>
      </c>
      <c r="N64" s="65">
        <v>16</v>
      </c>
      <c r="O64" s="65">
        <v>17</v>
      </c>
      <c r="P64" s="65"/>
      <c r="Q64" s="65"/>
      <c r="R64" s="65"/>
      <c r="S64" s="65"/>
      <c r="T64" s="65"/>
      <c r="U64" s="65">
        <v>10</v>
      </c>
      <c r="V64" s="65"/>
      <c r="W64" s="65"/>
      <c r="X64" s="65">
        <v>20</v>
      </c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>
        <v>96</v>
      </c>
    </row>
    <row r="65" spans="1:80" x14ac:dyDescent="0.45">
      <c r="A65" s="61" t="s">
        <v>245</v>
      </c>
      <c r="B65" s="61" t="s">
        <v>103</v>
      </c>
      <c r="C65" s="61" t="s">
        <v>116</v>
      </c>
      <c r="D65" s="59" t="s">
        <v>69</v>
      </c>
      <c r="E65" s="61" t="s">
        <v>218</v>
      </c>
      <c r="F65" s="61" t="s">
        <v>219</v>
      </c>
      <c r="G65" s="61" t="s">
        <v>220</v>
      </c>
      <c r="H65" s="59">
        <v>205</v>
      </c>
      <c r="I65" s="65"/>
      <c r="J65" s="65"/>
      <c r="K65" s="65"/>
      <c r="L65" s="65">
        <v>16</v>
      </c>
      <c r="M65" s="65">
        <v>17</v>
      </c>
      <c r="N65" s="65">
        <v>16</v>
      </c>
      <c r="O65" s="65">
        <v>17</v>
      </c>
      <c r="P65" s="65"/>
      <c r="Q65" s="65"/>
      <c r="R65" s="65"/>
      <c r="S65" s="65"/>
      <c r="T65" s="65"/>
      <c r="U65" s="65">
        <v>10</v>
      </c>
      <c r="V65" s="65"/>
      <c r="W65" s="65"/>
      <c r="X65" s="65">
        <v>20</v>
      </c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>
        <v>96</v>
      </c>
    </row>
    <row r="66" spans="1:80" x14ac:dyDescent="0.45">
      <c r="A66" s="61" t="s">
        <v>245</v>
      </c>
      <c r="B66" s="61" t="s">
        <v>103</v>
      </c>
      <c r="C66" s="61" t="s">
        <v>235</v>
      </c>
      <c r="D66" s="61" t="s">
        <v>161</v>
      </c>
      <c r="E66" s="61" t="s">
        <v>236</v>
      </c>
      <c r="F66" s="61" t="s">
        <v>90</v>
      </c>
      <c r="G66" s="61" t="s">
        <v>262</v>
      </c>
      <c r="H66" s="59">
        <v>150</v>
      </c>
      <c r="I66" s="65"/>
      <c r="J66" s="65"/>
      <c r="K66" s="65"/>
      <c r="L66" s="65">
        <v>16</v>
      </c>
      <c r="M66" s="65">
        <v>17</v>
      </c>
      <c r="N66" s="65">
        <v>16</v>
      </c>
      <c r="O66" s="65">
        <v>17</v>
      </c>
      <c r="P66" s="65"/>
      <c r="Q66" s="65"/>
      <c r="R66" s="65"/>
      <c r="S66" s="65"/>
      <c r="T66" s="65"/>
      <c r="U66" s="65">
        <v>10</v>
      </c>
      <c r="V66" s="65"/>
      <c r="W66" s="65"/>
      <c r="X66" s="65">
        <v>20</v>
      </c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>
        <v>96</v>
      </c>
    </row>
    <row r="67" spans="1:80" x14ac:dyDescent="0.45">
      <c r="A67" s="61" t="s">
        <v>245</v>
      </c>
      <c r="B67" s="61" t="s">
        <v>103</v>
      </c>
      <c r="C67" s="61" t="s">
        <v>237</v>
      </c>
      <c r="D67" s="61" t="s">
        <v>69</v>
      </c>
      <c r="E67" s="61" t="s">
        <v>92</v>
      </c>
      <c r="F67" s="59" t="s">
        <v>90</v>
      </c>
      <c r="G67" s="59" t="s">
        <v>262</v>
      </c>
      <c r="H67" s="59">
        <v>254</v>
      </c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>
        <v>5</v>
      </c>
      <c r="W67" s="65"/>
      <c r="X67" s="65">
        <v>20</v>
      </c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  <c r="CA67" s="65"/>
      <c r="CB67" s="65">
        <v>25</v>
      </c>
    </row>
    <row r="68" spans="1:80" x14ac:dyDescent="0.45">
      <c r="A68" s="61" t="s">
        <v>245</v>
      </c>
      <c r="B68" s="61" t="s">
        <v>103</v>
      </c>
      <c r="C68" s="61" t="s">
        <v>228</v>
      </c>
      <c r="D68" s="61" t="s">
        <v>78</v>
      </c>
      <c r="E68" s="61" t="s">
        <v>229</v>
      </c>
      <c r="F68" s="61" t="s">
        <v>230</v>
      </c>
      <c r="G68" s="61" t="s">
        <v>231</v>
      </c>
      <c r="H68" s="59">
        <v>230</v>
      </c>
      <c r="I68" s="65"/>
      <c r="J68" s="65"/>
      <c r="K68" s="65"/>
      <c r="L68" s="65">
        <v>16</v>
      </c>
      <c r="M68" s="65">
        <v>17</v>
      </c>
      <c r="N68" s="65">
        <v>16</v>
      </c>
      <c r="O68" s="65">
        <v>17</v>
      </c>
      <c r="P68" s="65"/>
      <c r="Q68" s="65"/>
      <c r="R68" s="65"/>
      <c r="S68" s="65"/>
      <c r="T68" s="65"/>
      <c r="U68" s="65">
        <v>10</v>
      </c>
      <c r="V68" s="65"/>
      <c r="W68" s="65"/>
      <c r="X68" s="65">
        <v>20</v>
      </c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>
        <v>96</v>
      </c>
    </row>
    <row r="69" spans="1:80" x14ac:dyDescent="0.45">
      <c r="A69" s="61" t="s">
        <v>245</v>
      </c>
      <c r="B69" s="61" t="s">
        <v>103</v>
      </c>
      <c r="C69" s="61" t="s">
        <v>162</v>
      </c>
      <c r="D69" s="61" t="s">
        <v>161</v>
      </c>
      <c r="E69" s="61" t="s">
        <v>163</v>
      </c>
      <c r="F69" s="61" t="s">
        <v>90</v>
      </c>
      <c r="G69" s="61" t="s">
        <v>262</v>
      </c>
      <c r="H69" s="59">
        <v>160</v>
      </c>
      <c r="I69" s="65"/>
      <c r="J69" s="65"/>
      <c r="K69" s="65"/>
      <c r="L69" s="65">
        <v>16</v>
      </c>
      <c r="M69" s="65">
        <v>17</v>
      </c>
      <c r="N69" s="65">
        <v>16</v>
      </c>
      <c r="O69" s="65">
        <v>17</v>
      </c>
      <c r="P69" s="65"/>
      <c r="Q69" s="65"/>
      <c r="R69" s="65"/>
      <c r="S69" s="65"/>
      <c r="T69" s="65"/>
      <c r="U69" s="65">
        <v>10</v>
      </c>
      <c r="V69" s="65"/>
      <c r="W69" s="65"/>
      <c r="X69" s="65">
        <v>20</v>
      </c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>
        <v>96</v>
      </c>
    </row>
    <row r="70" spans="1:80" x14ac:dyDescent="0.45">
      <c r="A70" s="61" t="s">
        <v>245</v>
      </c>
      <c r="B70" s="61" t="s">
        <v>103</v>
      </c>
      <c r="C70" s="61" t="s">
        <v>150</v>
      </c>
      <c r="D70" s="61" t="s">
        <v>93</v>
      </c>
      <c r="E70" s="61" t="s">
        <v>232</v>
      </c>
      <c r="F70" s="61" t="s">
        <v>233</v>
      </c>
      <c r="G70" s="61" t="s">
        <v>234</v>
      </c>
      <c r="H70" s="59">
        <v>280</v>
      </c>
      <c r="I70" s="65"/>
      <c r="J70" s="65"/>
      <c r="K70" s="65"/>
      <c r="L70" s="65">
        <v>16</v>
      </c>
      <c r="M70" s="65">
        <v>17</v>
      </c>
      <c r="N70" s="65">
        <v>16</v>
      </c>
      <c r="O70" s="65">
        <v>17</v>
      </c>
      <c r="P70" s="65"/>
      <c r="Q70" s="65"/>
      <c r="R70" s="65"/>
      <c r="S70" s="65"/>
      <c r="T70" s="65"/>
      <c r="U70" s="65">
        <v>10</v>
      </c>
      <c r="V70" s="65"/>
      <c r="W70" s="65"/>
      <c r="X70" s="65">
        <v>20</v>
      </c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  <c r="CA70" s="65"/>
      <c r="CB70" s="65">
        <v>96</v>
      </c>
    </row>
    <row r="71" spans="1:80" x14ac:dyDescent="0.45">
      <c r="A71" s="61" t="s">
        <v>245</v>
      </c>
      <c r="B71" s="61" t="s">
        <v>103</v>
      </c>
      <c r="C71" s="61" t="s">
        <v>225</v>
      </c>
      <c r="D71" s="61" t="s">
        <v>69</v>
      </c>
      <c r="E71" s="61" t="s">
        <v>204</v>
      </c>
      <c r="F71" s="61" t="s">
        <v>226</v>
      </c>
      <c r="G71" s="61" t="s">
        <v>227</v>
      </c>
      <c r="H71" s="59">
        <v>187</v>
      </c>
      <c r="I71" s="65"/>
      <c r="J71" s="65"/>
      <c r="K71" s="65"/>
      <c r="L71" s="65">
        <v>16</v>
      </c>
      <c r="M71" s="65">
        <v>17</v>
      </c>
      <c r="N71" s="65">
        <v>16</v>
      </c>
      <c r="O71" s="65">
        <v>17</v>
      </c>
      <c r="P71" s="65"/>
      <c r="Q71" s="65"/>
      <c r="R71" s="65"/>
      <c r="S71" s="65"/>
      <c r="T71" s="65"/>
      <c r="U71" s="65">
        <v>10</v>
      </c>
      <c r="V71" s="65"/>
      <c r="W71" s="65"/>
      <c r="X71" s="65">
        <v>20</v>
      </c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  <c r="CA71" s="65"/>
      <c r="CB71" s="65">
        <v>96</v>
      </c>
    </row>
    <row r="72" spans="1:80" x14ac:dyDescent="0.45">
      <c r="A72" s="61" t="s">
        <v>245</v>
      </c>
      <c r="B72" s="61" t="s">
        <v>164</v>
      </c>
      <c r="C72" s="61" t="s">
        <v>241</v>
      </c>
      <c r="D72" s="59" t="s">
        <v>69</v>
      </c>
      <c r="E72" s="61" t="s">
        <v>242</v>
      </c>
      <c r="F72" s="61" t="s">
        <v>243</v>
      </c>
      <c r="G72" s="61" t="s">
        <v>244</v>
      </c>
      <c r="H72" s="59">
        <v>233</v>
      </c>
      <c r="I72" s="65"/>
      <c r="J72" s="65"/>
      <c r="K72" s="65"/>
      <c r="L72" s="65"/>
      <c r="M72" s="65"/>
      <c r="N72" s="65"/>
      <c r="O72" s="65"/>
      <c r="P72" s="65">
        <v>28</v>
      </c>
      <c r="Q72" s="65">
        <v>29</v>
      </c>
      <c r="R72" s="65">
        <v>26</v>
      </c>
      <c r="S72" s="65"/>
      <c r="T72" s="65"/>
      <c r="U72" s="65"/>
      <c r="V72" s="65"/>
      <c r="W72" s="65"/>
      <c r="X72" s="65"/>
      <c r="Y72" s="65">
        <v>27</v>
      </c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>
        <v>110</v>
      </c>
    </row>
    <row r="73" spans="1:80" x14ac:dyDescent="0.45">
      <c r="A73" s="61" t="s">
        <v>245</v>
      </c>
      <c r="B73" s="61" t="s">
        <v>164</v>
      </c>
      <c r="C73" s="61" t="s">
        <v>238</v>
      </c>
      <c r="D73" s="59" t="s">
        <v>69</v>
      </c>
      <c r="E73" s="61" t="s">
        <v>218</v>
      </c>
      <c r="F73" s="61" t="s">
        <v>239</v>
      </c>
      <c r="G73" s="61" t="s">
        <v>240</v>
      </c>
      <c r="H73" s="59">
        <v>205</v>
      </c>
      <c r="I73" s="65"/>
      <c r="J73" s="65"/>
      <c r="K73" s="65"/>
      <c r="L73" s="65"/>
      <c r="M73" s="65"/>
      <c r="N73" s="65"/>
      <c r="O73" s="65"/>
      <c r="P73" s="65">
        <v>28</v>
      </c>
      <c r="Q73" s="65">
        <v>29</v>
      </c>
      <c r="R73" s="65">
        <v>26</v>
      </c>
      <c r="S73" s="65"/>
      <c r="T73" s="65"/>
      <c r="U73" s="65"/>
      <c r="V73" s="65"/>
      <c r="W73" s="65"/>
      <c r="X73" s="65"/>
      <c r="Y73" s="65">
        <v>27</v>
      </c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  <c r="CA73" s="65"/>
      <c r="CB73" s="65">
        <v>110</v>
      </c>
    </row>
    <row r="74" spans="1:80" x14ac:dyDescent="0.45">
      <c r="A74" s="61" t="s">
        <v>245</v>
      </c>
      <c r="B74" s="61" t="s">
        <v>164</v>
      </c>
      <c r="C74" s="61" t="s">
        <v>210</v>
      </c>
      <c r="D74" s="61" t="s">
        <v>61</v>
      </c>
      <c r="E74" s="61" t="s">
        <v>211</v>
      </c>
      <c r="F74" s="61" t="s">
        <v>212</v>
      </c>
      <c r="G74" s="61" t="s">
        <v>213</v>
      </c>
      <c r="H74" s="59">
        <v>210</v>
      </c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>
        <v>27</v>
      </c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>
        <v>27</v>
      </c>
    </row>
    <row r="75" spans="1:80" x14ac:dyDescent="0.45">
      <c r="A75" s="61" t="s">
        <v>245</v>
      </c>
      <c r="B75" s="61" t="s">
        <v>164</v>
      </c>
      <c r="C75" s="61" t="s">
        <v>197</v>
      </c>
      <c r="D75" s="61" t="s">
        <v>196</v>
      </c>
      <c r="E75" s="61" t="s">
        <v>198</v>
      </c>
      <c r="F75" s="61" t="s">
        <v>90</v>
      </c>
      <c r="G75" s="61" t="s">
        <v>262</v>
      </c>
      <c r="H75" s="59">
        <v>145</v>
      </c>
      <c r="I75" s="65"/>
      <c r="J75" s="65"/>
      <c r="K75" s="65"/>
      <c r="L75" s="65"/>
      <c r="M75" s="65"/>
      <c r="N75" s="65"/>
      <c r="O75" s="65"/>
      <c r="P75" s="65">
        <v>28</v>
      </c>
      <c r="Q75" s="65">
        <v>29</v>
      </c>
      <c r="R75" s="65">
        <v>26</v>
      </c>
      <c r="S75" s="65"/>
      <c r="T75" s="65"/>
      <c r="U75" s="65"/>
      <c r="V75" s="65"/>
      <c r="W75" s="65"/>
      <c r="X75" s="65"/>
      <c r="Y75" s="65">
        <v>27</v>
      </c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  <c r="CA75" s="65"/>
      <c r="CB75" s="65">
        <v>110</v>
      </c>
    </row>
    <row r="76" spans="1:80" x14ac:dyDescent="0.45">
      <c r="C76"/>
      <c r="D76"/>
      <c r="E76"/>
      <c r="F76"/>
      <c r="G76"/>
    </row>
  </sheetData>
  <phoneticPr fontId="3" type="noConversion"/>
  <pageMargins left="0.7" right="0.7" top="0.75" bottom="0.75" header="0.3" footer="0.3"/>
  <pageSetup paperSize="9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70C0"/>
    <pageSetUpPr fitToPage="1"/>
  </sheetPr>
  <dimension ref="A1:AC92"/>
  <sheetViews>
    <sheetView zoomScaleNormal="100" workbookViewId="0">
      <selection activeCell="H3" sqref="H3"/>
    </sheetView>
  </sheetViews>
  <sheetFormatPr defaultRowHeight="15.45" x14ac:dyDescent="0.45"/>
  <cols>
    <col min="1" max="1" width="4.20703125" style="1" bestFit="1" customWidth="1"/>
    <col min="2" max="2" width="2.7890625" style="1" customWidth="1"/>
    <col min="3" max="3" width="16.41796875" customWidth="1"/>
    <col min="4" max="4" width="4.20703125" style="1" customWidth="1"/>
    <col min="5" max="5" width="9.1015625" customWidth="1"/>
    <col min="6" max="6" width="7.1015625" style="1" customWidth="1"/>
    <col min="7" max="7" width="14.1015625" style="1" customWidth="1"/>
    <col min="8" max="8" width="4" customWidth="1"/>
    <col min="9" max="26" width="3.3125" customWidth="1"/>
    <col min="27" max="27" width="4.20703125" style="6" bestFit="1" customWidth="1"/>
    <col min="28" max="28" width="9.41796875" bestFit="1" customWidth="1"/>
    <col min="29" max="29" width="7.3125" customWidth="1"/>
  </cols>
  <sheetData>
    <row r="1" spans="1:29" ht="20.350000000000001" x14ac:dyDescent="0.45">
      <c r="A1" s="22" t="s">
        <v>496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49"/>
      <c r="AB1" s="22"/>
      <c r="AC1" s="22"/>
    </row>
    <row r="2" spans="1:29" ht="48.75" customHeight="1" x14ac:dyDescent="0.4">
      <c r="A2" s="29" t="s">
        <v>54</v>
      </c>
      <c r="B2" s="47" t="s">
        <v>0</v>
      </c>
      <c r="C2" s="29" t="s">
        <v>57</v>
      </c>
      <c r="D2" s="29" t="s">
        <v>56</v>
      </c>
      <c r="E2" s="29" t="s">
        <v>1</v>
      </c>
      <c r="F2" s="29" t="s">
        <v>2</v>
      </c>
      <c r="G2" s="29" t="s">
        <v>3</v>
      </c>
      <c r="H2" s="47" t="s">
        <v>546</v>
      </c>
      <c r="I2" s="30" t="s">
        <v>263</v>
      </c>
      <c r="J2" s="30" t="s">
        <v>264</v>
      </c>
      <c r="K2" s="30" t="s">
        <v>265</v>
      </c>
      <c r="L2" s="30" t="s">
        <v>266</v>
      </c>
      <c r="M2" s="31" t="s">
        <v>267</v>
      </c>
      <c r="N2" s="31" t="s">
        <v>268</v>
      </c>
      <c r="O2" s="31" t="s">
        <v>269</v>
      </c>
      <c r="P2" s="31" t="s">
        <v>270</v>
      </c>
      <c r="Q2" s="32" t="s">
        <v>271</v>
      </c>
      <c r="R2" s="32" t="s">
        <v>272</v>
      </c>
      <c r="S2" s="32" t="s">
        <v>273</v>
      </c>
      <c r="T2" s="32" t="s">
        <v>274</v>
      </c>
      <c r="U2" s="33" t="s">
        <v>275</v>
      </c>
      <c r="V2" s="33" t="s">
        <v>276</v>
      </c>
      <c r="W2" s="34" t="s">
        <v>277</v>
      </c>
      <c r="X2" s="34" t="s">
        <v>278</v>
      </c>
      <c r="Y2" s="35" t="s">
        <v>279</v>
      </c>
      <c r="Z2" s="35" t="s">
        <v>280</v>
      </c>
      <c r="AA2" s="36" t="s">
        <v>487</v>
      </c>
      <c r="AB2" s="37" t="s">
        <v>488</v>
      </c>
      <c r="AC2" s="36" t="s">
        <v>495</v>
      </c>
    </row>
    <row r="3" spans="1:29" ht="21.8" customHeight="1" x14ac:dyDescent="0.45">
      <c r="A3" s="38" t="s">
        <v>60</v>
      </c>
      <c r="B3" s="38" t="s">
        <v>4</v>
      </c>
      <c r="C3" s="39" t="s">
        <v>19</v>
      </c>
      <c r="D3" s="38" t="s">
        <v>5</v>
      </c>
      <c r="E3" s="39" t="s">
        <v>20</v>
      </c>
      <c r="F3" s="38" t="s">
        <v>21</v>
      </c>
      <c r="G3" s="38" t="s">
        <v>22</v>
      </c>
      <c r="H3" s="39">
        <v>206</v>
      </c>
      <c r="I3" s="40">
        <v>39</v>
      </c>
      <c r="J3" s="40">
        <v>39</v>
      </c>
      <c r="K3" s="40">
        <v>38</v>
      </c>
      <c r="L3" s="40">
        <v>38</v>
      </c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>
        <v>154</v>
      </c>
      <c r="AB3" s="42">
        <f>AA3*H3</f>
        <v>31724</v>
      </c>
      <c r="AC3" s="40"/>
    </row>
    <row r="4" spans="1:29" ht="21.8" customHeight="1" x14ac:dyDescent="0.45">
      <c r="A4" s="38" t="s">
        <v>60</v>
      </c>
      <c r="B4" s="38" t="s">
        <v>4</v>
      </c>
      <c r="C4" s="39" t="s">
        <v>50</v>
      </c>
      <c r="D4" s="38" t="s">
        <v>46</v>
      </c>
      <c r="E4" s="39" t="s">
        <v>51</v>
      </c>
      <c r="F4" s="38" t="s">
        <v>52</v>
      </c>
      <c r="G4" s="38" t="s">
        <v>53</v>
      </c>
      <c r="H4" s="39">
        <v>155</v>
      </c>
      <c r="I4" s="40">
        <v>39</v>
      </c>
      <c r="J4" s="40">
        <v>39</v>
      </c>
      <c r="K4" s="40">
        <v>38</v>
      </c>
      <c r="L4" s="40">
        <v>38</v>
      </c>
      <c r="M4" s="40">
        <v>40</v>
      </c>
      <c r="N4" s="40">
        <v>40</v>
      </c>
      <c r="O4" s="40">
        <v>40</v>
      </c>
      <c r="P4" s="40">
        <v>39</v>
      </c>
      <c r="Q4" s="40">
        <v>39</v>
      </c>
      <c r="R4" s="40">
        <v>39</v>
      </c>
      <c r="S4" s="40">
        <v>39</v>
      </c>
      <c r="T4" s="40">
        <v>39</v>
      </c>
      <c r="U4" s="40">
        <v>38</v>
      </c>
      <c r="V4" s="40">
        <v>37</v>
      </c>
      <c r="W4" s="40">
        <v>39</v>
      </c>
      <c r="X4" s="40">
        <v>38</v>
      </c>
      <c r="Y4" s="40">
        <v>39</v>
      </c>
      <c r="Z4" s="40">
        <v>39</v>
      </c>
      <c r="AA4" s="41">
        <v>699</v>
      </c>
      <c r="AB4" s="42">
        <f t="shared" ref="AB4:AB23" si="0">AA4*H4</f>
        <v>108345</v>
      </c>
      <c r="AC4" s="40"/>
    </row>
    <row r="5" spans="1:29" ht="21.8" customHeight="1" x14ac:dyDescent="0.45">
      <c r="A5" s="38" t="s">
        <v>60</v>
      </c>
      <c r="B5" s="38" t="s">
        <v>4</v>
      </c>
      <c r="C5" s="39" t="s">
        <v>94</v>
      </c>
      <c r="D5" s="38" t="s">
        <v>93</v>
      </c>
      <c r="E5" s="39" t="s">
        <v>95</v>
      </c>
      <c r="F5" s="38" t="s">
        <v>96</v>
      </c>
      <c r="G5" s="38" t="s">
        <v>97</v>
      </c>
      <c r="H5" s="39">
        <v>278</v>
      </c>
      <c r="I5" s="40"/>
      <c r="J5" s="40"/>
      <c r="K5" s="40"/>
      <c r="L5" s="40"/>
      <c r="M5" s="40">
        <v>40</v>
      </c>
      <c r="N5" s="40">
        <v>40</v>
      </c>
      <c r="O5" s="40">
        <v>40</v>
      </c>
      <c r="P5" s="40">
        <v>39</v>
      </c>
      <c r="Q5" s="40">
        <v>39</v>
      </c>
      <c r="R5" s="40">
        <v>39</v>
      </c>
      <c r="S5" s="40">
        <v>39</v>
      </c>
      <c r="T5" s="40">
        <v>39</v>
      </c>
      <c r="U5" s="40">
        <v>38</v>
      </c>
      <c r="V5" s="40">
        <v>37</v>
      </c>
      <c r="W5" s="40"/>
      <c r="X5" s="40"/>
      <c r="Y5" s="40">
        <v>39</v>
      </c>
      <c r="Z5" s="40">
        <v>39</v>
      </c>
      <c r="AA5" s="41">
        <v>468</v>
      </c>
      <c r="AB5" s="42">
        <f t="shared" si="0"/>
        <v>130104</v>
      </c>
      <c r="AC5" s="40"/>
    </row>
    <row r="6" spans="1:29" ht="21.8" customHeight="1" x14ac:dyDescent="0.45">
      <c r="A6" s="38" t="s">
        <v>60</v>
      </c>
      <c r="B6" s="38" t="s">
        <v>4</v>
      </c>
      <c r="C6" s="39" t="s">
        <v>15</v>
      </c>
      <c r="D6" s="38" t="s">
        <v>5</v>
      </c>
      <c r="E6" s="39" t="s">
        <v>16</v>
      </c>
      <c r="F6" s="38" t="s">
        <v>17</v>
      </c>
      <c r="G6" s="38" t="s">
        <v>18</v>
      </c>
      <c r="H6" s="39">
        <v>215</v>
      </c>
      <c r="I6" s="40">
        <v>39</v>
      </c>
      <c r="J6" s="40">
        <v>39</v>
      </c>
      <c r="K6" s="40">
        <v>38</v>
      </c>
      <c r="L6" s="40">
        <v>38</v>
      </c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1">
        <v>154</v>
      </c>
      <c r="AB6" s="42">
        <f t="shared" si="0"/>
        <v>33110</v>
      </c>
      <c r="AC6" s="40"/>
    </row>
    <row r="7" spans="1:29" ht="21.8" customHeight="1" x14ac:dyDescent="0.45">
      <c r="A7" s="38" t="s">
        <v>60</v>
      </c>
      <c r="B7" s="38" t="s">
        <v>4</v>
      </c>
      <c r="C7" s="39" t="s">
        <v>23</v>
      </c>
      <c r="D7" s="38" t="s">
        <v>10</v>
      </c>
      <c r="E7" s="39" t="s">
        <v>24</v>
      </c>
      <c r="F7" s="38" t="s">
        <v>25</v>
      </c>
      <c r="G7" s="38" t="s">
        <v>26</v>
      </c>
      <c r="H7" s="39">
        <v>232</v>
      </c>
      <c r="I7" s="40">
        <v>39</v>
      </c>
      <c r="J7" s="40">
        <v>39</v>
      </c>
      <c r="K7" s="40">
        <v>38</v>
      </c>
      <c r="L7" s="40">
        <v>38</v>
      </c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>
        <v>39</v>
      </c>
      <c r="Z7" s="40">
        <v>39</v>
      </c>
      <c r="AA7" s="41">
        <v>232</v>
      </c>
      <c r="AB7" s="42">
        <f t="shared" si="0"/>
        <v>53824</v>
      </c>
      <c r="AC7" s="40"/>
    </row>
    <row r="8" spans="1:29" ht="21.8" customHeight="1" x14ac:dyDescent="0.45">
      <c r="A8" s="38" t="s">
        <v>60</v>
      </c>
      <c r="B8" s="38" t="s">
        <v>4</v>
      </c>
      <c r="C8" s="39" t="s">
        <v>6</v>
      </c>
      <c r="D8" s="38" t="s">
        <v>5</v>
      </c>
      <c r="E8" s="39" t="s">
        <v>7</v>
      </c>
      <c r="F8" s="38" t="s">
        <v>8</v>
      </c>
      <c r="G8" s="38" t="s">
        <v>9</v>
      </c>
      <c r="H8" s="39">
        <v>195</v>
      </c>
      <c r="I8" s="40">
        <v>39</v>
      </c>
      <c r="J8" s="40">
        <v>39</v>
      </c>
      <c r="K8" s="40">
        <v>38</v>
      </c>
      <c r="L8" s="40">
        <v>38</v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1">
        <v>154</v>
      </c>
      <c r="AB8" s="42">
        <f t="shared" si="0"/>
        <v>30030</v>
      </c>
      <c r="AC8" s="40"/>
    </row>
    <row r="9" spans="1:29" ht="21.8" customHeight="1" x14ac:dyDescent="0.45">
      <c r="A9" s="38" t="s">
        <v>60</v>
      </c>
      <c r="B9" s="38" t="s">
        <v>4</v>
      </c>
      <c r="C9" s="39" t="s">
        <v>28</v>
      </c>
      <c r="D9" s="38" t="s">
        <v>27</v>
      </c>
      <c r="E9" s="39" t="s">
        <v>29</v>
      </c>
      <c r="F9" s="38" t="s">
        <v>30</v>
      </c>
      <c r="G9" s="38" t="s">
        <v>31</v>
      </c>
      <c r="H9" s="39">
        <v>185</v>
      </c>
      <c r="I9" s="40">
        <v>39</v>
      </c>
      <c r="J9" s="40">
        <v>39</v>
      </c>
      <c r="K9" s="40">
        <v>38</v>
      </c>
      <c r="L9" s="40">
        <v>38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1">
        <v>154</v>
      </c>
      <c r="AB9" s="42">
        <f t="shared" si="0"/>
        <v>28490</v>
      </c>
      <c r="AC9" s="40"/>
    </row>
    <row r="10" spans="1:29" ht="21.8" customHeight="1" x14ac:dyDescent="0.45">
      <c r="A10" s="38" t="s">
        <v>60</v>
      </c>
      <c r="B10" s="38" t="s">
        <v>4</v>
      </c>
      <c r="C10" s="39" t="s">
        <v>66</v>
      </c>
      <c r="D10" s="38" t="s">
        <v>61</v>
      </c>
      <c r="E10" s="39" t="s">
        <v>24</v>
      </c>
      <c r="F10" s="38" t="s">
        <v>67</v>
      </c>
      <c r="G10" s="38" t="s">
        <v>68</v>
      </c>
      <c r="H10" s="39">
        <v>210</v>
      </c>
      <c r="I10" s="40"/>
      <c r="J10" s="40"/>
      <c r="K10" s="40"/>
      <c r="L10" s="40"/>
      <c r="M10" s="40">
        <v>40</v>
      </c>
      <c r="N10" s="40">
        <v>40</v>
      </c>
      <c r="O10" s="40">
        <v>40</v>
      </c>
      <c r="P10" s="40">
        <v>39</v>
      </c>
      <c r="Q10" s="40">
        <v>39</v>
      </c>
      <c r="R10" s="40">
        <v>39</v>
      </c>
      <c r="S10" s="40">
        <v>39</v>
      </c>
      <c r="T10" s="40">
        <v>39</v>
      </c>
      <c r="U10" s="40">
        <v>38</v>
      </c>
      <c r="V10" s="40">
        <v>37</v>
      </c>
      <c r="W10" s="40">
        <v>39</v>
      </c>
      <c r="X10" s="40">
        <v>38</v>
      </c>
      <c r="Y10" s="40"/>
      <c r="Z10" s="40"/>
      <c r="AA10" s="41">
        <v>467</v>
      </c>
      <c r="AB10" s="42">
        <f t="shared" si="0"/>
        <v>98070</v>
      </c>
      <c r="AC10" s="40"/>
    </row>
    <row r="11" spans="1:29" ht="21.8" customHeight="1" x14ac:dyDescent="0.45">
      <c r="A11" s="38" t="s">
        <v>60</v>
      </c>
      <c r="B11" s="38" t="s">
        <v>4</v>
      </c>
      <c r="C11" s="39" t="s">
        <v>62</v>
      </c>
      <c r="D11" s="38" t="s">
        <v>61</v>
      </c>
      <c r="E11" s="39" t="s">
        <v>63</v>
      </c>
      <c r="F11" s="38" t="s">
        <v>64</v>
      </c>
      <c r="G11" s="38" t="s">
        <v>65</v>
      </c>
      <c r="H11" s="39">
        <v>240</v>
      </c>
      <c r="I11" s="40"/>
      <c r="J11" s="40"/>
      <c r="K11" s="40"/>
      <c r="L11" s="40"/>
      <c r="M11" s="40">
        <v>40</v>
      </c>
      <c r="N11" s="40">
        <v>40</v>
      </c>
      <c r="O11" s="40">
        <v>40</v>
      </c>
      <c r="P11" s="40">
        <v>39</v>
      </c>
      <c r="Q11" s="40">
        <v>39</v>
      </c>
      <c r="R11" s="40">
        <v>39</v>
      </c>
      <c r="S11" s="40">
        <v>39</v>
      </c>
      <c r="T11" s="40">
        <v>39</v>
      </c>
      <c r="U11" s="40">
        <v>38</v>
      </c>
      <c r="V11" s="40">
        <v>37</v>
      </c>
      <c r="W11" s="40">
        <v>39</v>
      </c>
      <c r="X11" s="40">
        <v>38</v>
      </c>
      <c r="Y11" s="40">
        <v>39</v>
      </c>
      <c r="Z11" s="40">
        <v>39</v>
      </c>
      <c r="AA11" s="41">
        <v>545</v>
      </c>
      <c r="AB11" s="42">
        <f t="shared" si="0"/>
        <v>130800</v>
      </c>
      <c r="AC11" s="40"/>
    </row>
    <row r="12" spans="1:29" ht="21.8" customHeight="1" x14ac:dyDescent="0.45">
      <c r="A12" s="38" t="s">
        <v>60</v>
      </c>
      <c r="B12" s="38" t="s">
        <v>4</v>
      </c>
      <c r="C12" s="39" t="s">
        <v>47</v>
      </c>
      <c r="D12" s="38" t="s">
        <v>46</v>
      </c>
      <c r="E12" s="39" t="s">
        <v>48</v>
      </c>
      <c r="F12" s="38" t="s">
        <v>49</v>
      </c>
      <c r="G12" s="38" t="s">
        <v>102</v>
      </c>
      <c r="H12" s="39">
        <v>168</v>
      </c>
      <c r="I12" s="40">
        <v>39</v>
      </c>
      <c r="J12" s="40">
        <v>39</v>
      </c>
      <c r="K12" s="40">
        <v>38</v>
      </c>
      <c r="L12" s="40">
        <v>38</v>
      </c>
      <c r="M12" s="40">
        <v>40</v>
      </c>
      <c r="N12" s="40">
        <v>40</v>
      </c>
      <c r="O12" s="40">
        <v>40</v>
      </c>
      <c r="P12" s="40">
        <v>39</v>
      </c>
      <c r="Q12" s="40">
        <v>39</v>
      </c>
      <c r="R12" s="40">
        <v>39</v>
      </c>
      <c r="S12" s="40">
        <v>39</v>
      </c>
      <c r="T12" s="40">
        <v>39</v>
      </c>
      <c r="U12" s="40">
        <v>38</v>
      </c>
      <c r="V12" s="40">
        <v>37</v>
      </c>
      <c r="W12" s="40">
        <v>39</v>
      </c>
      <c r="X12" s="40">
        <v>38</v>
      </c>
      <c r="Y12" s="40">
        <v>39</v>
      </c>
      <c r="Z12" s="40">
        <v>39</v>
      </c>
      <c r="AA12" s="41">
        <v>699</v>
      </c>
      <c r="AB12" s="42">
        <f t="shared" si="0"/>
        <v>117432</v>
      </c>
      <c r="AC12" s="40"/>
    </row>
    <row r="13" spans="1:29" ht="21.8" customHeight="1" x14ac:dyDescent="0.45">
      <c r="A13" s="38" t="s">
        <v>60</v>
      </c>
      <c r="B13" s="38" t="s">
        <v>4</v>
      </c>
      <c r="C13" s="39" t="s">
        <v>83</v>
      </c>
      <c r="D13" s="38" t="s">
        <v>74</v>
      </c>
      <c r="E13" s="39" t="s">
        <v>84</v>
      </c>
      <c r="F13" s="38" t="s">
        <v>85</v>
      </c>
      <c r="G13" s="38" t="s">
        <v>86</v>
      </c>
      <c r="H13" s="39">
        <v>200</v>
      </c>
      <c r="I13" s="40"/>
      <c r="J13" s="40"/>
      <c r="K13" s="40"/>
      <c r="L13" s="40"/>
      <c r="M13" s="40">
        <v>40</v>
      </c>
      <c r="N13" s="40">
        <v>40</v>
      </c>
      <c r="O13" s="40">
        <v>40</v>
      </c>
      <c r="P13" s="40">
        <v>39</v>
      </c>
      <c r="Q13" s="40">
        <v>39</v>
      </c>
      <c r="R13" s="40">
        <v>39</v>
      </c>
      <c r="S13" s="40">
        <v>39</v>
      </c>
      <c r="T13" s="40">
        <v>39</v>
      </c>
      <c r="U13" s="40">
        <v>38</v>
      </c>
      <c r="V13" s="40">
        <v>37</v>
      </c>
      <c r="W13" s="40"/>
      <c r="X13" s="40"/>
      <c r="Y13" s="40">
        <v>39</v>
      </c>
      <c r="Z13" s="40">
        <v>39</v>
      </c>
      <c r="AA13" s="41">
        <v>468</v>
      </c>
      <c r="AB13" s="42">
        <f t="shared" si="0"/>
        <v>93600</v>
      </c>
      <c r="AC13" s="40"/>
    </row>
    <row r="14" spans="1:29" ht="21.8" customHeight="1" x14ac:dyDescent="0.45">
      <c r="A14" s="38" t="s">
        <v>60</v>
      </c>
      <c r="B14" s="38" t="s">
        <v>4</v>
      </c>
      <c r="C14" s="39" t="s">
        <v>91</v>
      </c>
      <c r="D14" s="38" t="s">
        <v>69</v>
      </c>
      <c r="E14" s="39" t="s">
        <v>92</v>
      </c>
      <c r="F14" s="38" t="s">
        <v>90</v>
      </c>
      <c r="G14" s="38" t="s">
        <v>262</v>
      </c>
      <c r="H14" s="39">
        <v>265</v>
      </c>
      <c r="I14" s="40"/>
      <c r="J14" s="40"/>
      <c r="K14" s="40"/>
      <c r="L14" s="40"/>
      <c r="M14" s="40"/>
      <c r="N14" s="40"/>
      <c r="O14" s="40"/>
      <c r="P14" s="40"/>
      <c r="Q14" s="40">
        <v>39</v>
      </c>
      <c r="R14" s="40">
        <v>39</v>
      </c>
      <c r="S14" s="40">
        <v>39</v>
      </c>
      <c r="T14" s="40">
        <v>39</v>
      </c>
      <c r="U14" s="40"/>
      <c r="V14" s="40"/>
      <c r="W14" s="40"/>
      <c r="X14" s="40"/>
      <c r="Y14" s="40"/>
      <c r="Z14" s="40"/>
      <c r="AA14" s="41">
        <v>156</v>
      </c>
      <c r="AB14" s="42">
        <f t="shared" si="0"/>
        <v>41340</v>
      </c>
      <c r="AC14" s="40"/>
    </row>
    <row r="15" spans="1:29" ht="21.8" customHeight="1" x14ac:dyDescent="0.45">
      <c r="A15" s="38" t="s">
        <v>60</v>
      </c>
      <c r="B15" s="38" t="s">
        <v>4</v>
      </c>
      <c r="C15" s="39" t="s">
        <v>98</v>
      </c>
      <c r="D15" s="38" t="s">
        <v>87</v>
      </c>
      <c r="E15" s="39" t="s">
        <v>489</v>
      </c>
      <c r="F15" s="38" t="s">
        <v>100</v>
      </c>
      <c r="G15" s="38" t="s">
        <v>101</v>
      </c>
      <c r="H15" s="39">
        <v>331</v>
      </c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>
        <v>39</v>
      </c>
      <c r="X15" s="40">
        <v>38</v>
      </c>
      <c r="Y15" s="40"/>
      <c r="Z15" s="40"/>
      <c r="AA15" s="41">
        <v>77</v>
      </c>
      <c r="AB15" s="42">
        <f t="shared" si="0"/>
        <v>25487</v>
      </c>
      <c r="AC15" s="40"/>
    </row>
    <row r="16" spans="1:29" ht="21.8" customHeight="1" x14ac:dyDescent="0.45">
      <c r="A16" s="38" t="s">
        <v>60</v>
      </c>
      <c r="B16" s="38" t="s">
        <v>4</v>
      </c>
      <c r="C16" s="39" t="s">
        <v>37</v>
      </c>
      <c r="D16" s="38" t="s">
        <v>5</v>
      </c>
      <c r="E16" s="39" t="s">
        <v>38</v>
      </c>
      <c r="F16" s="38" t="s">
        <v>39</v>
      </c>
      <c r="G16" s="38" t="s">
        <v>40</v>
      </c>
      <c r="H16" s="39">
        <v>218</v>
      </c>
      <c r="I16" s="40">
        <v>39</v>
      </c>
      <c r="J16" s="40">
        <v>39</v>
      </c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1">
        <v>78</v>
      </c>
      <c r="AB16" s="42">
        <f t="shared" si="0"/>
        <v>17004</v>
      </c>
      <c r="AC16" s="40"/>
    </row>
    <row r="17" spans="1:29" ht="21.8" customHeight="1" x14ac:dyDescent="0.45">
      <c r="A17" s="38" t="s">
        <v>60</v>
      </c>
      <c r="B17" s="38" t="s">
        <v>4</v>
      </c>
      <c r="C17" s="39" t="s">
        <v>33</v>
      </c>
      <c r="D17" s="38" t="s">
        <v>32</v>
      </c>
      <c r="E17" s="39" t="s">
        <v>34</v>
      </c>
      <c r="F17" s="38" t="s">
        <v>35</v>
      </c>
      <c r="G17" s="38" t="s">
        <v>36</v>
      </c>
      <c r="H17" s="39">
        <v>262</v>
      </c>
      <c r="I17" s="40">
        <v>39</v>
      </c>
      <c r="J17" s="40">
        <v>39</v>
      </c>
      <c r="K17" s="40">
        <v>38</v>
      </c>
      <c r="L17" s="40">
        <v>38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1">
        <v>154</v>
      </c>
      <c r="AB17" s="42">
        <f t="shared" si="0"/>
        <v>40348</v>
      </c>
      <c r="AC17" s="40"/>
    </row>
    <row r="18" spans="1:29" ht="21.8" customHeight="1" x14ac:dyDescent="0.45">
      <c r="A18" s="38" t="s">
        <v>60</v>
      </c>
      <c r="B18" s="38" t="s">
        <v>4</v>
      </c>
      <c r="C18" s="39" t="s">
        <v>75</v>
      </c>
      <c r="D18" s="38" t="s">
        <v>74</v>
      </c>
      <c r="E18" s="39" t="s">
        <v>490</v>
      </c>
      <c r="F18" s="38" t="s">
        <v>76</v>
      </c>
      <c r="G18" s="38" t="s">
        <v>77</v>
      </c>
      <c r="H18" s="39">
        <v>200</v>
      </c>
      <c r="I18" s="40"/>
      <c r="J18" s="40"/>
      <c r="K18" s="40"/>
      <c r="L18" s="40"/>
      <c r="M18" s="40">
        <v>40</v>
      </c>
      <c r="N18" s="40">
        <v>40</v>
      </c>
      <c r="O18" s="40">
        <v>40</v>
      </c>
      <c r="P18" s="40">
        <v>39</v>
      </c>
      <c r="Q18" s="40">
        <v>39</v>
      </c>
      <c r="R18" s="40">
        <v>39</v>
      </c>
      <c r="S18" s="40">
        <v>39</v>
      </c>
      <c r="T18" s="40">
        <v>39</v>
      </c>
      <c r="U18" s="40">
        <v>38</v>
      </c>
      <c r="V18" s="40">
        <v>37</v>
      </c>
      <c r="W18" s="40"/>
      <c r="X18" s="40"/>
      <c r="Y18" s="40"/>
      <c r="Z18" s="40"/>
      <c r="AA18" s="41">
        <v>390</v>
      </c>
      <c r="AB18" s="42">
        <f t="shared" si="0"/>
        <v>78000</v>
      </c>
      <c r="AC18" s="40"/>
    </row>
    <row r="19" spans="1:29" ht="21.8" customHeight="1" x14ac:dyDescent="0.45">
      <c r="A19" s="38" t="s">
        <v>60</v>
      </c>
      <c r="B19" s="38" t="s">
        <v>4</v>
      </c>
      <c r="C19" s="39" t="s">
        <v>79</v>
      </c>
      <c r="D19" s="38" t="s">
        <v>78</v>
      </c>
      <c r="E19" s="39" t="s">
        <v>80</v>
      </c>
      <c r="F19" s="38" t="s">
        <v>81</v>
      </c>
      <c r="G19" s="38" t="s">
        <v>82</v>
      </c>
      <c r="H19" s="39">
        <v>230</v>
      </c>
      <c r="I19" s="40"/>
      <c r="J19" s="40"/>
      <c r="K19" s="40"/>
      <c r="L19" s="40"/>
      <c r="M19" s="40">
        <v>40</v>
      </c>
      <c r="N19" s="40">
        <v>40</v>
      </c>
      <c r="O19" s="40">
        <v>40</v>
      </c>
      <c r="P19" s="40">
        <v>39</v>
      </c>
      <c r="Q19" s="40">
        <v>39</v>
      </c>
      <c r="R19" s="40">
        <v>39</v>
      </c>
      <c r="S19" s="40">
        <v>39</v>
      </c>
      <c r="T19" s="40">
        <v>39</v>
      </c>
      <c r="U19" s="40">
        <v>38</v>
      </c>
      <c r="V19" s="40">
        <v>37</v>
      </c>
      <c r="W19" s="40"/>
      <c r="X19" s="40"/>
      <c r="Y19" s="40"/>
      <c r="Z19" s="40"/>
      <c r="AA19" s="41">
        <v>390</v>
      </c>
      <c r="AB19" s="42">
        <f t="shared" si="0"/>
        <v>89700</v>
      </c>
      <c r="AC19" s="40"/>
    </row>
    <row r="20" spans="1:29" ht="21.8" customHeight="1" x14ac:dyDescent="0.45">
      <c r="A20" s="38" t="s">
        <v>60</v>
      </c>
      <c r="B20" s="38" t="s">
        <v>4</v>
      </c>
      <c r="C20" s="39" t="s">
        <v>88</v>
      </c>
      <c r="D20" s="38" t="s">
        <v>87</v>
      </c>
      <c r="E20" s="39" t="s">
        <v>89</v>
      </c>
      <c r="F20" s="38" t="s">
        <v>90</v>
      </c>
      <c r="G20" s="38" t="s">
        <v>262</v>
      </c>
      <c r="H20" s="39">
        <v>200</v>
      </c>
      <c r="I20" s="40"/>
      <c r="J20" s="40"/>
      <c r="K20" s="40"/>
      <c r="L20" s="40"/>
      <c r="M20" s="40">
        <v>40</v>
      </c>
      <c r="N20" s="40">
        <v>40</v>
      </c>
      <c r="O20" s="40">
        <v>40</v>
      </c>
      <c r="P20" s="40">
        <v>39</v>
      </c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1">
        <v>159</v>
      </c>
      <c r="AB20" s="42">
        <f t="shared" si="0"/>
        <v>31800</v>
      </c>
      <c r="AC20" s="40"/>
    </row>
    <row r="21" spans="1:29" ht="21.8" customHeight="1" x14ac:dyDescent="0.45">
      <c r="A21" s="38" t="s">
        <v>60</v>
      </c>
      <c r="B21" s="38" t="s">
        <v>4</v>
      </c>
      <c r="C21" s="39" t="s">
        <v>70</v>
      </c>
      <c r="D21" s="38" t="s">
        <v>69</v>
      </c>
      <c r="E21" s="39" t="s">
        <v>71</v>
      </c>
      <c r="F21" s="38" t="s">
        <v>72</v>
      </c>
      <c r="G21" s="38" t="s">
        <v>73</v>
      </c>
      <c r="H21" s="39">
        <v>180</v>
      </c>
      <c r="I21" s="40"/>
      <c r="J21" s="40"/>
      <c r="K21" s="40"/>
      <c r="L21" s="40"/>
      <c r="M21" s="40">
        <v>40</v>
      </c>
      <c r="N21" s="40">
        <v>40</v>
      </c>
      <c r="O21" s="40">
        <v>40</v>
      </c>
      <c r="P21" s="40">
        <v>39</v>
      </c>
      <c r="Q21" s="40">
        <v>39</v>
      </c>
      <c r="R21" s="40">
        <v>39</v>
      </c>
      <c r="S21" s="40">
        <v>39</v>
      </c>
      <c r="T21" s="40">
        <v>39</v>
      </c>
      <c r="U21" s="40">
        <v>38</v>
      </c>
      <c r="V21" s="40">
        <v>37</v>
      </c>
      <c r="W21" s="40">
        <v>39</v>
      </c>
      <c r="X21" s="40">
        <v>38</v>
      </c>
      <c r="Y21" s="40">
        <v>39</v>
      </c>
      <c r="Z21" s="40">
        <v>39</v>
      </c>
      <c r="AA21" s="41">
        <v>545</v>
      </c>
      <c r="AB21" s="42">
        <f t="shared" si="0"/>
        <v>98100</v>
      </c>
      <c r="AC21" s="40"/>
    </row>
    <row r="22" spans="1:29" ht="21.8" customHeight="1" x14ac:dyDescent="0.45">
      <c r="A22" s="38" t="s">
        <v>60</v>
      </c>
      <c r="B22" s="38" t="s">
        <v>4</v>
      </c>
      <c r="C22" s="39" t="s">
        <v>11</v>
      </c>
      <c r="D22" s="38" t="s">
        <v>10</v>
      </c>
      <c r="E22" s="39" t="s">
        <v>12</v>
      </c>
      <c r="F22" s="38" t="s">
        <v>13</v>
      </c>
      <c r="G22" s="38" t="s">
        <v>14</v>
      </c>
      <c r="H22" s="39">
        <v>228</v>
      </c>
      <c r="I22" s="40">
        <v>39</v>
      </c>
      <c r="J22" s="40">
        <v>39</v>
      </c>
      <c r="K22" s="40">
        <v>38</v>
      </c>
      <c r="L22" s="40">
        <v>38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1">
        <v>154</v>
      </c>
      <c r="AB22" s="42">
        <f t="shared" si="0"/>
        <v>35112</v>
      </c>
      <c r="AC22" s="40"/>
    </row>
    <row r="23" spans="1:29" ht="21.8" customHeight="1" x14ac:dyDescent="0.45">
      <c r="A23" s="38" t="s">
        <v>60</v>
      </c>
      <c r="B23" s="38" t="s">
        <v>4</v>
      </c>
      <c r="C23" s="39" t="s">
        <v>42</v>
      </c>
      <c r="D23" s="38" t="s">
        <v>41</v>
      </c>
      <c r="E23" s="39" t="s">
        <v>43</v>
      </c>
      <c r="F23" s="38" t="s">
        <v>44</v>
      </c>
      <c r="G23" s="38" t="s">
        <v>45</v>
      </c>
      <c r="H23" s="39">
        <v>141</v>
      </c>
      <c r="I23" s="40">
        <v>39</v>
      </c>
      <c r="J23" s="40">
        <v>39</v>
      </c>
      <c r="K23" s="40">
        <v>38</v>
      </c>
      <c r="L23" s="40">
        <v>38</v>
      </c>
      <c r="M23" s="40">
        <v>40</v>
      </c>
      <c r="N23" s="40">
        <v>40</v>
      </c>
      <c r="O23" s="40">
        <v>40</v>
      </c>
      <c r="P23" s="40">
        <v>39</v>
      </c>
      <c r="Q23" s="40">
        <v>39</v>
      </c>
      <c r="R23" s="40">
        <v>39</v>
      </c>
      <c r="S23" s="40">
        <v>39</v>
      </c>
      <c r="T23" s="40">
        <v>39</v>
      </c>
      <c r="U23" s="40">
        <v>38</v>
      </c>
      <c r="V23" s="40">
        <v>37</v>
      </c>
      <c r="W23" s="40">
        <v>39</v>
      </c>
      <c r="X23" s="40">
        <v>38</v>
      </c>
      <c r="Y23" s="40">
        <v>39</v>
      </c>
      <c r="Z23" s="40">
        <v>39</v>
      </c>
      <c r="AA23" s="41">
        <v>699</v>
      </c>
      <c r="AB23" s="42">
        <f t="shared" si="0"/>
        <v>98559</v>
      </c>
      <c r="AC23" s="40"/>
    </row>
    <row r="24" spans="1:29" ht="21.8" customHeight="1" x14ac:dyDescent="0.45">
      <c r="A24" s="43"/>
      <c r="B24" s="43"/>
      <c r="C24" s="44"/>
      <c r="D24" s="43"/>
      <c r="E24" s="44"/>
      <c r="F24" s="43"/>
      <c r="G24" s="43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50" t="s">
        <v>502</v>
      </c>
      <c r="AB24" s="45">
        <f>SUM(AB3:AB23)</f>
        <v>1410979</v>
      </c>
    </row>
    <row r="25" spans="1:29" ht="20.350000000000001" x14ac:dyDescent="0.45">
      <c r="A25" s="22" t="s">
        <v>497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49"/>
      <c r="AB25" s="22"/>
      <c r="AC25" s="22"/>
    </row>
    <row r="26" spans="1:29" ht="48.75" customHeight="1" x14ac:dyDescent="0.4">
      <c r="A26" s="29" t="s">
        <v>54</v>
      </c>
      <c r="B26" s="47" t="s">
        <v>0</v>
      </c>
      <c r="C26" s="29" t="s">
        <v>57</v>
      </c>
      <c r="D26" s="29" t="s">
        <v>56</v>
      </c>
      <c r="E26" s="29" t="s">
        <v>1</v>
      </c>
      <c r="F26" s="29" t="s">
        <v>2</v>
      </c>
      <c r="G26" s="29" t="s">
        <v>3</v>
      </c>
      <c r="H26" s="47" t="s">
        <v>546</v>
      </c>
      <c r="I26" s="30" t="s">
        <v>281</v>
      </c>
      <c r="J26" s="30" t="s">
        <v>282</v>
      </c>
      <c r="K26" s="30" t="s">
        <v>283</v>
      </c>
      <c r="L26" s="30" t="s">
        <v>284</v>
      </c>
      <c r="M26" s="31" t="s">
        <v>285</v>
      </c>
      <c r="N26" s="31" t="s">
        <v>286</v>
      </c>
      <c r="O26" s="31" t="s">
        <v>287</v>
      </c>
      <c r="P26" s="31" t="s">
        <v>288</v>
      </c>
      <c r="Q26" s="32" t="s">
        <v>289</v>
      </c>
      <c r="R26" s="32" t="s">
        <v>290</v>
      </c>
      <c r="S26" s="32" t="s">
        <v>291</v>
      </c>
      <c r="T26" s="32" t="s">
        <v>292</v>
      </c>
      <c r="U26" s="33" t="s">
        <v>293</v>
      </c>
      <c r="V26" s="33" t="s">
        <v>294</v>
      </c>
      <c r="W26" s="34" t="s">
        <v>295</v>
      </c>
      <c r="X26" s="34" t="s">
        <v>296</v>
      </c>
      <c r="Y26" s="35" t="s">
        <v>297</v>
      </c>
      <c r="Z26" s="35" t="s">
        <v>298</v>
      </c>
      <c r="AA26" s="36" t="s">
        <v>487</v>
      </c>
      <c r="AB26" s="37" t="s">
        <v>488</v>
      </c>
      <c r="AC26" s="36" t="s">
        <v>495</v>
      </c>
    </row>
    <row r="27" spans="1:29" ht="21.8" customHeight="1" x14ac:dyDescent="0.45">
      <c r="A27" s="38" t="s">
        <v>60</v>
      </c>
      <c r="B27" s="38" t="s">
        <v>103</v>
      </c>
      <c r="C27" s="39" t="s">
        <v>112</v>
      </c>
      <c r="D27" s="38" t="s">
        <v>69</v>
      </c>
      <c r="E27" s="39" t="s">
        <v>113</v>
      </c>
      <c r="F27" s="38" t="s">
        <v>114</v>
      </c>
      <c r="G27" s="38" t="s">
        <v>115</v>
      </c>
      <c r="H27" s="39">
        <v>228</v>
      </c>
      <c r="I27" s="40">
        <v>30</v>
      </c>
      <c r="J27" s="40">
        <v>30</v>
      </c>
      <c r="K27" s="40">
        <v>51</v>
      </c>
      <c r="L27" s="40">
        <v>53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1">
        <v>164</v>
      </c>
      <c r="AB27" s="42">
        <f>AA27*H27</f>
        <v>37392</v>
      </c>
      <c r="AC27" s="40"/>
    </row>
    <row r="28" spans="1:29" ht="21.8" customHeight="1" x14ac:dyDescent="0.45">
      <c r="A28" s="38" t="s">
        <v>60</v>
      </c>
      <c r="B28" s="38" t="s">
        <v>103</v>
      </c>
      <c r="C28" s="39" t="s">
        <v>145</v>
      </c>
      <c r="D28" s="38" t="s">
        <v>78</v>
      </c>
      <c r="E28" s="39" t="s">
        <v>146</v>
      </c>
      <c r="F28" s="38" t="s">
        <v>90</v>
      </c>
      <c r="G28" s="38" t="s">
        <v>262</v>
      </c>
      <c r="H28" s="39">
        <v>230</v>
      </c>
      <c r="I28" s="40"/>
      <c r="J28" s="40"/>
      <c r="K28" s="40"/>
      <c r="L28" s="40"/>
      <c r="M28" s="40">
        <v>40</v>
      </c>
      <c r="N28" s="40">
        <v>38</v>
      </c>
      <c r="O28" s="40">
        <v>40</v>
      </c>
      <c r="P28" s="40">
        <v>38</v>
      </c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1">
        <v>156</v>
      </c>
      <c r="AB28" s="42">
        <f t="shared" ref="AB28:AB43" si="1">AA28*H28</f>
        <v>35880</v>
      </c>
      <c r="AC28" s="40"/>
    </row>
    <row r="29" spans="1:29" ht="21.8" customHeight="1" x14ac:dyDescent="0.45">
      <c r="A29" s="38" t="s">
        <v>60</v>
      </c>
      <c r="B29" s="38" t="s">
        <v>103</v>
      </c>
      <c r="C29" s="39" t="s">
        <v>154</v>
      </c>
      <c r="D29" s="38" t="s">
        <v>93</v>
      </c>
      <c r="E29" s="39" t="s">
        <v>95</v>
      </c>
      <c r="F29" s="38" t="s">
        <v>155</v>
      </c>
      <c r="G29" s="38" t="s">
        <v>156</v>
      </c>
      <c r="H29" s="39">
        <v>278</v>
      </c>
      <c r="I29" s="40"/>
      <c r="J29" s="40"/>
      <c r="K29" s="40"/>
      <c r="L29" s="40"/>
      <c r="M29" s="40">
        <v>40</v>
      </c>
      <c r="N29" s="40">
        <v>38</v>
      </c>
      <c r="O29" s="40">
        <v>40</v>
      </c>
      <c r="P29" s="40">
        <v>38</v>
      </c>
      <c r="Q29" s="40">
        <v>39</v>
      </c>
      <c r="R29" s="40">
        <v>38</v>
      </c>
      <c r="S29" s="40">
        <v>37</v>
      </c>
      <c r="T29" s="40">
        <v>39</v>
      </c>
      <c r="U29" s="40">
        <v>39</v>
      </c>
      <c r="V29" s="40">
        <v>40</v>
      </c>
      <c r="W29" s="40"/>
      <c r="X29" s="40"/>
      <c r="Y29" s="40">
        <v>40</v>
      </c>
      <c r="Z29" s="40">
        <v>42</v>
      </c>
      <c r="AA29" s="41">
        <v>470</v>
      </c>
      <c r="AB29" s="42">
        <f t="shared" si="1"/>
        <v>130660</v>
      </c>
      <c r="AC29" s="40"/>
    </row>
    <row r="30" spans="1:29" ht="21.8" customHeight="1" x14ac:dyDescent="0.45">
      <c r="A30" s="38" t="s">
        <v>60</v>
      </c>
      <c r="B30" s="38" t="s">
        <v>103</v>
      </c>
      <c r="C30" s="39" t="s">
        <v>108</v>
      </c>
      <c r="D30" s="38" t="s">
        <v>69</v>
      </c>
      <c r="E30" s="39" t="s">
        <v>109</v>
      </c>
      <c r="F30" s="38" t="s">
        <v>110</v>
      </c>
      <c r="G30" s="38" t="s">
        <v>111</v>
      </c>
      <c r="H30" s="39">
        <v>249</v>
      </c>
      <c r="I30" s="40">
        <v>30</v>
      </c>
      <c r="J30" s="40">
        <v>30</v>
      </c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1">
        <v>60</v>
      </c>
      <c r="AB30" s="42">
        <f t="shared" si="1"/>
        <v>14940</v>
      </c>
      <c r="AC30" s="40"/>
    </row>
    <row r="31" spans="1:29" ht="21.8" customHeight="1" x14ac:dyDescent="0.45">
      <c r="A31" s="38" t="s">
        <v>60</v>
      </c>
      <c r="B31" s="38" t="s">
        <v>103</v>
      </c>
      <c r="C31" s="39" t="s">
        <v>119</v>
      </c>
      <c r="D31" s="38" t="s">
        <v>10</v>
      </c>
      <c r="E31" s="39" t="s">
        <v>24</v>
      </c>
      <c r="F31" s="38" t="s">
        <v>120</v>
      </c>
      <c r="G31" s="38" t="s">
        <v>121</v>
      </c>
      <c r="H31" s="39">
        <v>248</v>
      </c>
      <c r="I31" s="40">
        <v>30</v>
      </c>
      <c r="J31" s="40">
        <v>30</v>
      </c>
      <c r="K31" s="40">
        <v>51</v>
      </c>
      <c r="L31" s="40">
        <v>53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>
        <v>40</v>
      </c>
      <c r="Z31" s="40">
        <v>42</v>
      </c>
      <c r="AA31" s="41">
        <v>246</v>
      </c>
      <c r="AB31" s="42">
        <f t="shared" si="1"/>
        <v>61008</v>
      </c>
      <c r="AC31" s="40"/>
    </row>
    <row r="32" spans="1:29" ht="21.8" customHeight="1" x14ac:dyDescent="0.45">
      <c r="A32" s="38" t="s">
        <v>60</v>
      </c>
      <c r="B32" s="38" t="s">
        <v>103</v>
      </c>
      <c r="C32" s="39" t="s">
        <v>125</v>
      </c>
      <c r="D32" s="38" t="s">
        <v>27</v>
      </c>
      <c r="E32" s="39" t="s">
        <v>29</v>
      </c>
      <c r="F32" s="38" t="s">
        <v>126</v>
      </c>
      <c r="G32" s="38" t="s">
        <v>127</v>
      </c>
      <c r="H32" s="39">
        <v>231</v>
      </c>
      <c r="I32" s="40">
        <v>30</v>
      </c>
      <c r="J32" s="40">
        <v>30</v>
      </c>
      <c r="K32" s="40">
        <v>51</v>
      </c>
      <c r="L32" s="40">
        <v>53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1">
        <v>164</v>
      </c>
      <c r="AB32" s="42">
        <f t="shared" si="1"/>
        <v>37884</v>
      </c>
      <c r="AC32" s="40"/>
    </row>
    <row r="33" spans="1:29" ht="21.8" customHeight="1" x14ac:dyDescent="0.45">
      <c r="A33" s="38" t="s">
        <v>60</v>
      </c>
      <c r="B33" s="38" t="s">
        <v>103</v>
      </c>
      <c r="C33" s="39" t="s">
        <v>122</v>
      </c>
      <c r="D33" s="38" t="s">
        <v>61</v>
      </c>
      <c r="E33" s="39" t="s">
        <v>24</v>
      </c>
      <c r="F33" s="38" t="s">
        <v>123</v>
      </c>
      <c r="G33" s="38" t="s">
        <v>124</v>
      </c>
      <c r="H33" s="39">
        <v>230</v>
      </c>
      <c r="I33" s="40"/>
      <c r="J33" s="40"/>
      <c r="K33" s="40"/>
      <c r="L33" s="40"/>
      <c r="M33" s="40">
        <v>40</v>
      </c>
      <c r="N33" s="40">
        <v>38</v>
      </c>
      <c r="O33" s="40">
        <v>40</v>
      </c>
      <c r="P33" s="40">
        <v>38</v>
      </c>
      <c r="Q33" s="40">
        <v>39</v>
      </c>
      <c r="R33" s="40">
        <v>38</v>
      </c>
      <c r="S33" s="40">
        <v>37</v>
      </c>
      <c r="T33" s="40">
        <v>39</v>
      </c>
      <c r="U33" s="40">
        <v>39</v>
      </c>
      <c r="V33" s="40">
        <v>40</v>
      </c>
      <c r="W33" s="40">
        <v>39</v>
      </c>
      <c r="X33" s="40">
        <v>39</v>
      </c>
      <c r="Y33" s="40"/>
      <c r="Z33" s="40"/>
      <c r="AA33" s="41">
        <v>466</v>
      </c>
      <c r="AB33" s="42">
        <f t="shared" si="1"/>
        <v>107180</v>
      </c>
      <c r="AC33" s="40"/>
    </row>
    <row r="34" spans="1:29" ht="21.8" customHeight="1" x14ac:dyDescent="0.45">
      <c r="A34" s="38" t="s">
        <v>60</v>
      </c>
      <c r="B34" s="38" t="s">
        <v>103</v>
      </c>
      <c r="C34" s="39" t="s">
        <v>116</v>
      </c>
      <c r="D34" s="38" t="s">
        <v>5</v>
      </c>
      <c r="E34" s="39" t="s">
        <v>7</v>
      </c>
      <c r="F34" s="38" t="s">
        <v>117</v>
      </c>
      <c r="G34" s="38" t="s">
        <v>118</v>
      </c>
      <c r="H34" s="39">
        <v>199</v>
      </c>
      <c r="I34" s="40"/>
      <c r="J34" s="40"/>
      <c r="K34" s="40"/>
      <c r="L34" s="40"/>
      <c r="M34" s="40">
        <v>40</v>
      </c>
      <c r="N34" s="40">
        <v>38</v>
      </c>
      <c r="O34" s="40">
        <v>40</v>
      </c>
      <c r="P34" s="40">
        <v>38</v>
      </c>
      <c r="Q34" s="40">
        <v>39</v>
      </c>
      <c r="R34" s="40">
        <v>38</v>
      </c>
      <c r="S34" s="40">
        <v>37</v>
      </c>
      <c r="T34" s="40">
        <v>39</v>
      </c>
      <c r="U34" s="40">
        <v>39</v>
      </c>
      <c r="V34" s="40">
        <v>40</v>
      </c>
      <c r="W34" s="40">
        <v>39</v>
      </c>
      <c r="X34" s="40">
        <v>39</v>
      </c>
      <c r="Y34" s="40">
        <v>40</v>
      </c>
      <c r="Z34" s="40">
        <v>42</v>
      </c>
      <c r="AA34" s="41">
        <v>548</v>
      </c>
      <c r="AB34" s="42">
        <f t="shared" si="1"/>
        <v>109052</v>
      </c>
      <c r="AC34" s="40"/>
    </row>
    <row r="35" spans="1:29" ht="21.8" customHeight="1" x14ac:dyDescent="0.45">
      <c r="A35" s="38" t="s">
        <v>60</v>
      </c>
      <c r="B35" s="38" t="s">
        <v>103</v>
      </c>
      <c r="C35" s="39" t="s">
        <v>129</v>
      </c>
      <c r="D35" s="38" t="s">
        <v>128</v>
      </c>
      <c r="E35" s="39" t="s">
        <v>130</v>
      </c>
      <c r="F35" s="38" t="s">
        <v>131</v>
      </c>
      <c r="G35" s="38" t="s">
        <v>132</v>
      </c>
      <c r="H35" s="39">
        <v>125</v>
      </c>
      <c r="I35" s="40"/>
      <c r="J35" s="40"/>
      <c r="K35" s="40">
        <v>51</v>
      </c>
      <c r="L35" s="40">
        <v>53</v>
      </c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1">
        <v>104</v>
      </c>
      <c r="AB35" s="42">
        <f t="shared" si="1"/>
        <v>13000</v>
      </c>
      <c r="AC35" s="40"/>
    </row>
    <row r="36" spans="1:29" ht="21.8" customHeight="1" x14ac:dyDescent="0.45">
      <c r="A36" s="38" t="s">
        <v>60</v>
      </c>
      <c r="B36" s="38" t="s">
        <v>103</v>
      </c>
      <c r="C36" s="39" t="s">
        <v>133</v>
      </c>
      <c r="D36" s="38" t="s">
        <v>27</v>
      </c>
      <c r="E36" s="39" t="s">
        <v>134</v>
      </c>
      <c r="F36" s="38" t="s">
        <v>135</v>
      </c>
      <c r="G36" s="38" t="s">
        <v>136</v>
      </c>
      <c r="H36" s="39">
        <v>209</v>
      </c>
      <c r="I36" s="40"/>
      <c r="J36" s="40"/>
      <c r="K36" s="40">
        <v>51</v>
      </c>
      <c r="L36" s="40">
        <v>53</v>
      </c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1">
        <v>104</v>
      </c>
      <c r="AB36" s="42">
        <f t="shared" si="1"/>
        <v>21736</v>
      </c>
      <c r="AC36" s="40"/>
    </row>
    <row r="37" spans="1:29" ht="21.8" customHeight="1" x14ac:dyDescent="0.45">
      <c r="A37" s="38" t="s">
        <v>60</v>
      </c>
      <c r="B37" s="38" t="s">
        <v>103</v>
      </c>
      <c r="C37" s="39" t="s">
        <v>162</v>
      </c>
      <c r="D37" s="38" t="s">
        <v>161</v>
      </c>
      <c r="E37" s="39" t="s">
        <v>163</v>
      </c>
      <c r="F37" s="38" t="s">
        <v>90</v>
      </c>
      <c r="G37" s="38" t="s">
        <v>262</v>
      </c>
      <c r="H37" s="39">
        <v>160</v>
      </c>
      <c r="I37" s="40"/>
      <c r="J37" s="40"/>
      <c r="K37" s="40"/>
      <c r="L37" s="40"/>
      <c r="M37" s="40">
        <v>40</v>
      </c>
      <c r="N37" s="40">
        <v>38</v>
      </c>
      <c r="O37" s="40">
        <v>40</v>
      </c>
      <c r="P37" s="40">
        <v>38</v>
      </c>
      <c r="Q37" s="40">
        <v>39</v>
      </c>
      <c r="R37" s="40">
        <v>38</v>
      </c>
      <c r="S37" s="40">
        <v>37</v>
      </c>
      <c r="T37" s="40">
        <v>39</v>
      </c>
      <c r="U37" s="40">
        <v>39</v>
      </c>
      <c r="V37" s="40">
        <v>40</v>
      </c>
      <c r="W37" s="40">
        <v>39</v>
      </c>
      <c r="X37" s="40">
        <v>39</v>
      </c>
      <c r="Y37" s="40">
        <v>40</v>
      </c>
      <c r="Z37" s="40">
        <v>42</v>
      </c>
      <c r="AA37" s="41">
        <v>548</v>
      </c>
      <c r="AB37" s="42">
        <f t="shared" si="1"/>
        <v>87680</v>
      </c>
      <c r="AC37" s="40"/>
    </row>
    <row r="38" spans="1:29" ht="21.8" customHeight="1" x14ac:dyDescent="0.45">
      <c r="A38" s="38" t="s">
        <v>60</v>
      </c>
      <c r="B38" s="38" t="s">
        <v>103</v>
      </c>
      <c r="C38" s="39" t="s">
        <v>150</v>
      </c>
      <c r="D38" s="38" t="s">
        <v>74</v>
      </c>
      <c r="E38" s="39" t="s">
        <v>151</v>
      </c>
      <c r="F38" s="38" t="s">
        <v>152</v>
      </c>
      <c r="G38" s="38" t="s">
        <v>153</v>
      </c>
      <c r="H38" s="39">
        <v>250</v>
      </c>
      <c r="I38" s="40"/>
      <c r="J38" s="40"/>
      <c r="K38" s="40"/>
      <c r="L38" s="40"/>
      <c r="M38" s="40">
        <v>40</v>
      </c>
      <c r="N38" s="40">
        <v>38</v>
      </c>
      <c r="O38" s="40">
        <v>40</v>
      </c>
      <c r="P38" s="40">
        <v>38</v>
      </c>
      <c r="Q38" s="40">
        <v>39</v>
      </c>
      <c r="R38" s="40">
        <v>38</v>
      </c>
      <c r="S38" s="40">
        <v>37</v>
      </c>
      <c r="T38" s="40">
        <v>39</v>
      </c>
      <c r="U38" s="40">
        <v>39</v>
      </c>
      <c r="V38" s="40">
        <v>40</v>
      </c>
      <c r="W38" s="40"/>
      <c r="X38" s="40"/>
      <c r="Y38" s="40"/>
      <c r="Z38" s="40"/>
      <c r="AA38" s="41">
        <v>388</v>
      </c>
      <c r="AB38" s="42">
        <f t="shared" si="1"/>
        <v>97000</v>
      </c>
      <c r="AC38" s="40"/>
    </row>
    <row r="39" spans="1:29" ht="35.85" customHeight="1" x14ac:dyDescent="0.45">
      <c r="A39" s="38" t="s">
        <v>60</v>
      </c>
      <c r="B39" s="38" t="s">
        <v>103</v>
      </c>
      <c r="C39" s="48" t="s">
        <v>491</v>
      </c>
      <c r="D39" s="38" t="s">
        <v>78</v>
      </c>
      <c r="E39" s="48" t="s">
        <v>492</v>
      </c>
      <c r="F39" s="38" t="s">
        <v>149</v>
      </c>
      <c r="G39" s="38" t="s">
        <v>262</v>
      </c>
      <c r="H39" s="39">
        <v>335</v>
      </c>
      <c r="I39" s="40"/>
      <c r="J39" s="40"/>
      <c r="K39" s="40"/>
      <c r="L39" s="40"/>
      <c r="M39" s="40">
        <v>40</v>
      </c>
      <c r="N39" s="40">
        <v>38</v>
      </c>
      <c r="O39" s="40">
        <v>40</v>
      </c>
      <c r="P39" s="40">
        <v>38</v>
      </c>
      <c r="Q39" s="40">
        <v>39</v>
      </c>
      <c r="R39" s="40">
        <v>38</v>
      </c>
      <c r="S39" s="40">
        <v>37</v>
      </c>
      <c r="T39" s="40">
        <v>39</v>
      </c>
      <c r="U39" s="40"/>
      <c r="V39" s="40"/>
      <c r="W39" s="40"/>
      <c r="X39" s="40"/>
      <c r="Y39" s="40"/>
      <c r="Z39" s="40"/>
      <c r="AA39" s="41">
        <v>309</v>
      </c>
      <c r="AB39" s="42">
        <f t="shared" si="1"/>
        <v>103515</v>
      </c>
      <c r="AC39" s="40"/>
    </row>
    <row r="40" spans="1:29" ht="21.8" customHeight="1" x14ac:dyDescent="0.45">
      <c r="A40" s="38" t="s">
        <v>60</v>
      </c>
      <c r="B40" s="38" t="s">
        <v>103</v>
      </c>
      <c r="C40" s="39" t="s">
        <v>141</v>
      </c>
      <c r="D40" s="38" t="s">
        <v>74</v>
      </c>
      <c r="E40" s="39" t="s">
        <v>142</v>
      </c>
      <c r="F40" s="38" t="s">
        <v>143</v>
      </c>
      <c r="G40" s="38" t="s">
        <v>144</v>
      </c>
      <c r="H40" s="39">
        <v>185</v>
      </c>
      <c r="I40" s="40"/>
      <c r="J40" s="40"/>
      <c r="K40" s="40"/>
      <c r="L40" s="40"/>
      <c r="M40" s="40">
        <v>40</v>
      </c>
      <c r="N40" s="40">
        <v>38</v>
      </c>
      <c r="O40" s="40">
        <v>40</v>
      </c>
      <c r="P40" s="40">
        <v>38</v>
      </c>
      <c r="Q40" s="40">
        <v>39</v>
      </c>
      <c r="R40" s="40">
        <v>38</v>
      </c>
      <c r="S40" s="40">
        <v>37</v>
      </c>
      <c r="T40" s="40">
        <v>39</v>
      </c>
      <c r="U40" s="40">
        <v>39</v>
      </c>
      <c r="V40" s="40">
        <v>40</v>
      </c>
      <c r="W40" s="40">
        <v>39</v>
      </c>
      <c r="X40" s="40">
        <v>39</v>
      </c>
      <c r="Y40" s="40">
        <v>40</v>
      </c>
      <c r="Z40" s="40">
        <v>42</v>
      </c>
      <c r="AA40" s="41">
        <v>548</v>
      </c>
      <c r="AB40" s="42">
        <f t="shared" si="1"/>
        <v>101380</v>
      </c>
      <c r="AC40" s="40"/>
    </row>
    <row r="41" spans="1:29" ht="21.8" customHeight="1" x14ac:dyDescent="0.45">
      <c r="A41" s="38" t="s">
        <v>60</v>
      </c>
      <c r="B41" s="38" t="s">
        <v>103</v>
      </c>
      <c r="C41" s="39" t="s">
        <v>104</v>
      </c>
      <c r="D41" s="38" t="s">
        <v>10</v>
      </c>
      <c r="E41" s="39" t="s">
        <v>105</v>
      </c>
      <c r="F41" s="38" t="s">
        <v>106</v>
      </c>
      <c r="G41" s="38" t="s">
        <v>107</v>
      </c>
      <c r="H41" s="39">
        <v>220</v>
      </c>
      <c r="I41" s="40">
        <v>30</v>
      </c>
      <c r="J41" s="40">
        <v>30</v>
      </c>
      <c r="K41" s="40">
        <v>51</v>
      </c>
      <c r="L41" s="40">
        <v>53</v>
      </c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1">
        <v>164</v>
      </c>
      <c r="AB41" s="42">
        <f t="shared" si="1"/>
        <v>36080</v>
      </c>
      <c r="AC41" s="40"/>
    </row>
    <row r="42" spans="1:29" ht="21.8" customHeight="1" x14ac:dyDescent="0.45">
      <c r="A42" s="38" t="s">
        <v>60</v>
      </c>
      <c r="B42" s="38" t="s">
        <v>103</v>
      </c>
      <c r="C42" s="39" t="s">
        <v>137</v>
      </c>
      <c r="D42" s="38" t="s">
        <v>69</v>
      </c>
      <c r="E42" s="39" t="s">
        <v>138</v>
      </c>
      <c r="F42" s="38" t="s">
        <v>139</v>
      </c>
      <c r="G42" s="38" t="s">
        <v>140</v>
      </c>
      <c r="H42" s="39">
        <v>253</v>
      </c>
      <c r="I42" s="40"/>
      <c r="J42" s="40"/>
      <c r="K42" s="40">
        <v>51</v>
      </c>
      <c r="L42" s="40">
        <v>53</v>
      </c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1">
        <v>104</v>
      </c>
      <c r="AB42" s="42">
        <f t="shared" si="1"/>
        <v>26312</v>
      </c>
      <c r="AC42" s="40"/>
    </row>
    <row r="43" spans="1:29" ht="21.8" customHeight="1" x14ac:dyDescent="0.45">
      <c r="A43" s="38" t="s">
        <v>60</v>
      </c>
      <c r="B43" s="38" t="s">
        <v>103</v>
      </c>
      <c r="C43" s="39" t="s">
        <v>157</v>
      </c>
      <c r="D43" s="38" t="s">
        <v>128</v>
      </c>
      <c r="E43" s="39" t="s">
        <v>158</v>
      </c>
      <c r="F43" s="38" t="s">
        <v>159</v>
      </c>
      <c r="G43" s="38" t="s">
        <v>160</v>
      </c>
      <c r="H43" s="39">
        <v>140</v>
      </c>
      <c r="I43" s="40">
        <v>30</v>
      </c>
      <c r="J43" s="40">
        <v>30</v>
      </c>
      <c r="K43" s="40">
        <v>51</v>
      </c>
      <c r="L43" s="40">
        <v>53</v>
      </c>
      <c r="M43" s="40">
        <v>40</v>
      </c>
      <c r="N43" s="40">
        <v>38</v>
      </c>
      <c r="O43" s="40">
        <v>40</v>
      </c>
      <c r="P43" s="40">
        <v>38</v>
      </c>
      <c r="Q43" s="40">
        <v>39</v>
      </c>
      <c r="R43" s="40">
        <v>38</v>
      </c>
      <c r="S43" s="40">
        <v>37</v>
      </c>
      <c r="T43" s="40">
        <v>39</v>
      </c>
      <c r="U43" s="40">
        <v>39</v>
      </c>
      <c r="V43" s="40">
        <v>40</v>
      </c>
      <c r="W43" s="40">
        <v>39</v>
      </c>
      <c r="X43" s="40">
        <v>39</v>
      </c>
      <c r="Y43" s="40">
        <v>40</v>
      </c>
      <c r="Z43" s="40">
        <v>42</v>
      </c>
      <c r="AA43" s="41">
        <v>712</v>
      </c>
      <c r="AB43" s="42">
        <f t="shared" si="1"/>
        <v>99680</v>
      </c>
      <c r="AC43" s="40"/>
    </row>
    <row r="44" spans="1:29" ht="21.8" customHeight="1" x14ac:dyDescent="0.45">
      <c r="A44" s="43"/>
      <c r="B44" s="43"/>
      <c r="C44" s="44"/>
      <c r="D44" s="43"/>
      <c r="E44" s="44"/>
      <c r="F44" s="43"/>
      <c r="G44" s="43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50" t="s">
        <v>502</v>
      </c>
      <c r="AB44" s="45">
        <f>SUM(AB27:AB43)</f>
        <v>1120379</v>
      </c>
    </row>
    <row r="45" spans="1:29" ht="20.350000000000001" x14ac:dyDescent="0.45">
      <c r="A45" s="22" t="s">
        <v>498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49"/>
      <c r="AB45" s="22"/>
      <c r="AC45" s="22"/>
    </row>
    <row r="46" spans="1:29" ht="40.35" x14ac:dyDescent="0.4">
      <c r="A46" s="29" t="s">
        <v>54</v>
      </c>
      <c r="B46" s="47" t="s">
        <v>0</v>
      </c>
      <c r="C46" s="29" t="s">
        <v>57</v>
      </c>
      <c r="D46" s="29" t="s">
        <v>56</v>
      </c>
      <c r="E46" s="29" t="s">
        <v>1</v>
      </c>
      <c r="F46" s="29" t="s">
        <v>2</v>
      </c>
      <c r="G46" s="29" t="s">
        <v>3</v>
      </c>
      <c r="H46" s="47" t="s">
        <v>546</v>
      </c>
      <c r="I46" s="30" t="s">
        <v>299</v>
      </c>
      <c r="J46" s="30" t="s">
        <v>300</v>
      </c>
      <c r="K46" s="30" t="s">
        <v>313</v>
      </c>
      <c r="L46" s="30" t="s">
        <v>314</v>
      </c>
      <c r="M46" s="31" t="s">
        <v>301</v>
      </c>
      <c r="N46" s="31" t="s">
        <v>302</v>
      </c>
      <c r="O46" s="31" t="s">
        <v>303</v>
      </c>
      <c r="P46" s="31" t="s">
        <v>304</v>
      </c>
      <c r="Q46" s="32" t="s">
        <v>305</v>
      </c>
      <c r="R46" s="32" t="s">
        <v>306</v>
      </c>
      <c r="S46" s="32" t="s">
        <v>307</v>
      </c>
      <c r="T46" s="32" t="s">
        <v>308</v>
      </c>
      <c r="U46" s="33" t="s">
        <v>309</v>
      </c>
      <c r="V46" s="33" t="s">
        <v>310</v>
      </c>
      <c r="W46" s="34" t="s">
        <v>311</v>
      </c>
      <c r="X46" s="34" t="s">
        <v>312</v>
      </c>
      <c r="Y46" s="35" t="s">
        <v>315</v>
      </c>
      <c r="Z46" s="35" t="s">
        <v>316</v>
      </c>
      <c r="AA46" s="36" t="s">
        <v>487</v>
      </c>
      <c r="AB46" s="37" t="s">
        <v>488</v>
      </c>
      <c r="AC46" s="36" t="s">
        <v>495</v>
      </c>
    </row>
    <row r="47" spans="1:29" ht="21.8" customHeight="1" x14ac:dyDescent="0.45">
      <c r="A47" s="38" t="s">
        <v>60</v>
      </c>
      <c r="B47" s="38" t="s">
        <v>164</v>
      </c>
      <c r="C47" s="39" t="s">
        <v>172</v>
      </c>
      <c r="D47" s="38" t="s">
        <v>10</v>
      </c>
      <c r="E47" s="39" t="s">
        <v>173</v>
      </c>
      <c r="F47" s="38" t="s">
        <v>174</v>
      </c>
      <c r="G47" s="38" t="s">
        <v>175</v>
      </c>
      <c r="H47" s="39">
        <v>218</v>
      </c>
      <c r="I47" s="40">
        <v>31</v>
      </c>
      <c r="J47" s="40">
        <v>31</v>
      </c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1">
        <v>62</v>
      </c>
      <c r="AB47" s="42">
        <f t="shared" ref="AB47:AB56" si="2">AA47*H47</f>
        <v>13516</v>
      </c>
      <c r="AC47" s="40"/>
    </row>
    <row r="48" spans="1:29" ht="21.8" customHeight="1" x14ac:dyDescent="0.45">
      <c r="A48" s="38" t="s">
        <v>60</v>
      </c>
      <c r="B48" s="38" t="s">
        <v>164</v>
      </c>
      <c r="C48" s="39" t="s">
        <v>176</v>
      </c>
      <c r="D48" s="38" t="s">
        <v>61</v>
      </c>
      <c r="E48" s="39" t="s">
        <v>24</v>
      </c>
      <c r="F48" s="38" t="s">
        <v>177</v>
      </c>
      <c r="G48" s="38" t="s">
        <v>178</v>
      </c>
      <c r="H48" s="39">
        <v>240</v>
      </c>
      <c r="I48" s="40"/>
      <c r="J48" s="40"/>
      <c r="K48" s="40"/>
      <c r="L48" s="40"/>
      <c r="M48" s="40">
        <v>36</v>
      </c>
      <c r="N48" s="40">
        <v>36</v>
      </c>
      <c r="O48" s="40">
        <v>35</v>
      </c>
      <c r="P48" s="40">
        <v>37</v>
      </c>
      <c r="Q48" s="40">
        <v>36</v>
      </c>
      <c r="R48" s="40">
        <v>34</v>
      </c>
      <c r="S48" s="40">
        <v>35</v>
      </c>
      <c r="T48" s="40">
        <v>35</v>
      </c>
      <c r="U48" s="40">
        <v>34</v>
      </c>
      <c r="V48" s="40">
        <v>34</v>
      </c>
      <c r="W48" s="40">
        <v>37</v>
      </c>
      <c r="X48" s="40">
        <v>34</v>
      </c>
      <c r="Y48" s="40"/>
      <c r="Z48" s="40"/>
      <c r="AA48" s="41">
        <v>423</v>
      </c>
      <c r="AB48" s="42">
        <f t="shared" si="2"/>
        <v>101520</v>
      </c>
      <c r="AC48" s="40"/>
    </row>
    <row r="49" spans="1:29" ht="21.8" customHeight="1" x14ac:dyDescent="0.45">
      <c r="A49" s="38" t="s">
        <v>60</v>
      </c>
      <c r="B49" s="38" t="s">
        <v>164</v>
      </c>
      <c r="C49" s="39" t="s">
        <v>197</v>
      </c>
      <c r="D49" s="38" t="s">
        <v>196</v>
      </c>
      <c r="E49" s="39" t="s">
        <v>198</v>
      </c>
      <c r="F49" s="38" t="s">
        <v>90</v>
      </c>
      <c r="G49" s="38" t="s">
        <v>262</v>
      </c>
      <c r="H49" s="39">
        <v>145</v>
      </c>
      <c r="I49" s="40">
        <v>31</v>
      </c>
      <c r="J49" s="40">
        <v>31</v>
      </c>
      <c r="K49" s="40">
        <v>40</v>
      </c>
      <c r="L49" s="40">
        <v>39</v>
      </c>
      <c r="M49" s="40">
        <v>36</v>
      </c>
      <c r="N49" s="40">
        <v>36</v>
      </c>
      <c r="O49" s="40">
        <v>35</v>
      </c>
      <c r="P49" s="40">
        <v>37</v>
      </c>
      <c r="Q49" s="40">
        <v>36</v>
      </c>
      <c r="R49" s="40">
        <v>34</v>
      </c>
      <c r="S49" s="40">
        <v>35</v>
      </c>
      <c r="T49" s="40">
        <v>35</v>
      </c>
      <c r="U49" s="40">
        <v>34</v>
      </c>
      <c r="V49" s="40">
        <v>34</v>
      </c>
      <c r="W49" s="40">
        <v>37</v>
      </c>
      <c r="X49" s="40">
        <v>34</v>
      </c>
      <c r="Y49" s="40">
        <v>38</v>
      </c>
      <c r="Z49" s="40">
        <v>38</v>
      </c>
      <c r="AA49" s="41">
        <v>640</v>
      </c>
      <c r="AB49" s="42">
        <f t="shared" si="2"/>
        <v>92800</v>
      </c>
      <c r="AC49" s="40"/>
    </row>
    <row r="50" spans="1:29" ht="21.8" customHeight="1" x14ac:dyDescent="0.45">
      <c r="A50" s="38" t="s">
        <v>60</v>
      </c>
      <c r="B50" s="38" t="s">
        <v>164</v>
      </c>
      <c r="C50" s="39" t="s">
        <v>189</v>
      </c>
      <c r="D50" s="38" t="s">
        <v>128</v>
      </c>
      <c r="E50" s="39" t="s">
        <v>130</v>
      </c>
      <c r="F50" s="38" t="s">
        <v>190</v>
      </c>
      <c r="G50" s="38" t="s">
        <v>191</v>
      </c>
      <c r="H50" s="39">
        <v>125</v>
      </c>
      <c r="I50" s="40"/>
      <c r="J50" s="40"/>
      <c r="K50" s="40">
        <v>40</v>
      </c>
      <c r="L50" s="40">
        <v>39</v>
      </c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1">
        <v>79</v>
      </c>
      <c r="AB50" s="42">
        <f t="shared" si="2"/>
        <v>9875</v>
      </c>
      <c r="AC50" s="40"/>
    </row>
    <row r="51" spans="1:29" ht="21.8" customHeight="1" x14ac:dyDescent="0.45">
      <c r="A51" s="38" t="s">
        <v>60</v>
      </c>
      <c r="B51" s="38" t="s">
        <v>164</v>
      </c>
      <c r="C51" s="39" t="s">
        <v>185</v>
      </c>
      <c r="D51" s="38" t="s">
        <v>69</v>
      </c>
      <c r="E51" s="39" t="s">
        <v>186</v>
      </c>
      <c r="F51" s="38" t="s">
        <v>187</v>
      </c>
      <c r="G51" s="38" t="s">
        <v>188</v>
      </c>
      <c r="H51" s="39">
        <v>241</v>
      </c>
      <c r="I51" s="40"/>
      <c r="J51" s="40"/>
      <c r="K51" s="40">
        <v>40</v>
      </c>
      <c r="L51" s="40">
        <v>39</v>
      </c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1">
        <v>79</v>
      </c>
      <c r="AB51" s="42">
        <f t="shared" si="2"/>
        <v>19039</v>
      </c>
      <c r="AC51" s="40"/>
    </row>
    <row r="52" spans="1:29" ht="21.8" customHeight="1" x14ac:dyDescent="0.45">
      <c r="A52" s="38" t="s">
        <v>60</v>
      </c>
      <c r="B52" s="38" t="s">
        <v>164</v>
      </c>
      <c r="C52" s="39" t="s">
        <v>182</v>
      </c>
      <c r="D52" s="38" t="s">
        <v>10</v>
      </c>
      <c r="E52" s="39" t="s">
        <v>493</v>
      </c>
      <c r="F52" s="38" t="s">
        <v>183</v>
      </c>
      <c r="G52" s="38" t="s">
        <v>184</v>
      </c>
      <c r="H52" s="39">
        <v>168</v>
      </c>
      <c r="I52" s="40">
        <v>31</v>
      </c>
      <c r="J52" s="40">
        <v>31</v>
      </c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1">
        <v>62</v>
      </c>
      <c r="AB52" s="42">
        <f t="shared" si="2"/>
        <v>10416</v>
      </c>
      <c r="AC52" s="40"/>
    </row>
    <row r="53" spans="1:29" ht="21.8" customHeight="1" x14ac:dyDescent="0.45">
      <c r="A53" s="38" t="s">
        <v>60</v>
      </c>
      <c r="B53" s="38" t="s">
        <v>164</v>
      </c>
      <c r="C53" s="39" t="s">
        <v>179</v>
      </c>
      <c r="D53" s="38" t="s">
        <v>10</v>
      </c>
      <c r="E53" s="39" t="s">
        <v>493</v>
      </c>
      <c r="F53" s="38" t="s">
        <v>181</v>
      </c>
      <c r="G53" s="38" t="s">
        <v>121</v>
      </c>
      <c r="H53" s="39">
        <v>198</v>
      </c>
      <c r="I53" s="40"/>
      <c r="J53" s="40"/>
      <c r="K53" s="40">
        <v>40</v>
      </c>
      <c r="L53" s="40">
        <v>39</v>
      </c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1">
        <v>79</v>
      </c>
      <c r="AB53" s="42">
        <f t="shared" si="2"/>
        <v>15642</v>
      </c>
      <c r="AC53" s="40"/>
    </row>
    <row r="54" spans="1:29" ht="21.8" customHeight="1" x14ac:dyDescent="0.45">
      <c r="A54" s="38" t="s">
        <v>60</v>
      </c>
      <c r="B54" s="38" t="s">
        <v>164</v>
      </c>
      <c r="C54" s="39" t="s">
        <v>165</v>
      </c>
      <c r="D54" s="38" t="s">
        <v>10</v>
      </c>
      <c r="E54" s="39" t="s">
        <v>494</v>
      </c>
      <c r="F54" s="38" t="s">
        <v>167</v>
      </c>
      <c r="G54" s="38" t="s">
        <v>168</v>
      </c>
      <c r="H54" s="39">
        <v>210</v>
      </c>
      <c r="I54" s="40">
        <v>31</v>
      </c>
      <c r="J54" s="40">
        <v>31</v>
      </c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1">
        <v>62</v>
      </c>
      <c r="AB54" s="42">
        <f t="shared" si="2"/>
        <v>13020</v>
      </c>
      <c r="AC54" s="40"/>
    </row>
    <row r="55" spans="1:29" ht="21.8" customHeight="1" x14ac:dyDescent="0.45">
      <c r="A55" s="38" t="s">
        <v>60</v>
      </c>
      <c r="B55" s="38" t="s">
        <v>164</v>
      </c>
      <c r="C55" s="39" t="s">
        <v>169</v>
      </c>
      <c r="D55" s="38" t="s">
        <v>69</v>
      </c>
      <c r="E55" s="39" t="s">
        <v>109</v>
      </c>
      <c r="F55" s="38" t="s">
        <v>170</v>
      </c>
      <c r="G55" s="38" t="s">
        <v>171</v>
      </c>
      <c r="H55" s="39">
        <v>232</v>
      </c>
      <c r="I55" s="40">
        <v>31</v>
      </c>
      <c r="J55" s="40">
        <v>31</v>
      </c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1">
        <v>62</v>
      </c>
      <c r="AB55" s="42">
        <f t="shared" si="2"/>
        <v>14384</v>
      </c>
      <c r="AC55" s="40"/>
    </row>
    <row r="56" spans="1:29" ht="21.8" customHeight="1" x14ac:dyDescent="0.45">
      <c r="A56" s="38" t="s">
        <v>60</v>
      </c>
      <c r="B56" s="38" t="s">
        <v>164</v>
      </c>
      <c r="C56" s="39" t="s">
        <v>192</v>
      </c>
      <c r="D56" s="38" t="s">
        <v>46</v>
      </c>
      <c r="E56" s="39" t="s">
        <v>193</v>
      </c>
      <c r="F56" s="38" t="s">
        <v>194</v>
      </c>
      <c r="G56" s="38" t="s">
        <v>195</v>
      </c>
      <c r="H56" s="39">
        <v>125</v>
      </c>
      <c r="I56" s="40">
        <v>31</v>
      </c>
      <c r="J56" s="40">
        <v>31</v>
      </c>
      <c r="K56" s="40">
        <v>40</v>
      </c>
      <c r="L56" s="40">
        <v>39</v>
      </c>
      <c r="M56" s="40">
        <v>36</v>
      </c>
      <c r="N56" s="40">
        <v>36</v>
      </c>
      <c r="O56" s="40">
        <v>35</v>
      </c>
      <c r="P56" s="40">
        <v>37</v>
      </c>
      <c r="Q56" s="40">
        <v>36</v>
      </c>
      <c r="R56" s="40">
        <v>34</v>
      </c>
      <c r="S56" s="40">
        <v>35</v>
      </c>
      <c r="T56" s="40">
        <v>35</v>
      </c>
      <c r="U56" s="40">
        <v>34</v>
      </c>
      <c r="V56" s="40">
        <v>34</v>
      </c>
      <c r="W56" s="40">
        <v>37</v>
      </c>
      <c r="X56" s="40">
        <v>34</v>
      </c>
      <c r="Y56" s="40">
        <v>38</v>
      </c>
      <c r="Z56" s="40">
        <v>38</v>
      </c>
      <c r="AA56" s="41">
        <v>640</v>
      </c>
      <c r="AB56" s="42">
        <f t="shared" si="2"/>
        <v>80000</v>
      </c>
      <c r="AC56" s="40"/>
    </row>
    <row r="57" spans="1:29" ht="21.8" customHeight="1" x14ac:dyDescent="0.45">
      <c r="A57" s="43"/>
      <c r="B57" s="43"/>
      <c r="C57" s="44"/>
      <c r="D57" s="43"/>
      <c r="E57" s="44"/>
      <c r="F57" s="43"/>
      <c r="G57" s="43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50" t="s">
        <v>502</v>
      </c>
      <c r="AB57" s="45">
        <f>SUM(AB47:AB56)</f>
        <v>370212</v>
      </c>
    </row>
    <row r="58" spans="1:29" ht="21.8" customHeight="1" x14ac:dyDescent="0.45">
      <c r="A58" s="43"/>
      <c r="B58" s="43"/>
      <c r="C58" s="44"/>
      <c r="D58" s="43"/>
      <c r="E58" s="44"/>
      <c r="F58" s="43"/>
      <c r="G58" s="43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50" t="s">
        <v>503</v>
      </c>
      <c r="AB58" s="45">
        <f>SUM(AB57,AB44,AB24)</f>
        <v>2901570</v>
      </c>
    </row>
    <row r="59" spans="1:29" ht="20.350000000000001" x14ac:dyDescent="0.45">
      <c r="A59" s="22" t="s">
        <v>499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49"/>
      <c r="AB59" s="22"/>
      <c r="AC59" s="22"/>
    </row>
    <row r="60" spans="1:29" ht="79.95" x14ac:dyDescent="0.4">
      <c r="A60" s="29" t="s">
        <v>54</v>
      </c>
      <c r="B60" s="47" t="s">
        <v>0</v>
      </c>
      <c r="C60" s="29" t="s">
        <v>57</v>
      </c>
      <c r="D60" s="29" t="s">
        <v>56</v>
      </c>
      <c r="E60" s="29" t="s">
        <v>1</v>
      </c>
      <c r="F60" s="29" t="s">
        <v>2</v>
      </c>
      <c r="G60" s="29" t="s">
        <v>3</v>
      </c>
      <c r="H60" s="47" t="s">
        <v>546</v>
      </c>
      <c r="I60" s="30" t="s">
        <v>317</v>
      </c>
      <c r="J60" s="30" t="s">
        <v>318</v>
      </c>
      <c r="K60" s="30" t="s">
        <v>319</v>
      </c>
      <c r="L60" s="31" t="s">
        <v>320</v>
      </c>
      <c r="M60" s="32" t="s">
        <v>321</v>
      </c>
      <c r="N60" s="32" t="s">
        <v>322</v>
      </c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36" t="s">
        <v>487</v>
      </c>
      <c r="AB60" s="37" t="s">
        <v>488</v>
      </c>
      <c r="AC60" s="36" t="s">
        <v>495</v>
      </c>
    </row>
    <row r="61" spans="1:29" ht="21.8" customHeight="1" x14ac:dyDescent="0.45">
      <c r="A61" s="38" t="s">
        <v>245</v>
      </c>
      <c r="B61" s="38" t="s">
        <v>4</v>
      </c>
      <c r="C61" s="39" t="s">
        <v>50</v>
      </c>
      <c r="D61" s="38" t="s">
        <v>46</v>
      </c>
      <c r="E61" s="39" t="s">
        <v>51</v>
      </c>
      <c r="F61" s="38" t="s">
        <v>52</v>
      </c>
      <c r="G61" s="38" t="s">
        <v>53</v>
      </c>
      <c r="H61" s="39">
        <v>155</v>
      </c>
      <c r="I61" s="40">
        <v>20</v>
      </c>
      <c r="J61" s="40">
        <v>21</v>
      </c>
      <c r="K61" s="40">
        <v>20</v>
      </c>
      <c r="L61" s="40">
        <v>7</v>
      </c>
      <c r="M61" s="40">
        <v>10</v>
      </c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38">
        <v>78</v>
      </c>
      <c r="AB61" s="42">
        <f t="shared" ref="AB61:AB70" si="3">AA61*H61</f>
        <v>12090</v>
      </c>
      <c r="AC61" s="40"/>
    </row>
    <row r="62" spans="1:29" ht="21.8" customHeight="1" x14ac:dyDescent="0.45">
      <c r="A62" s="38" t="s">
        <v>245</v>
      </c>
      <c r="B62" s="38" t="s">
        <v>4</v>
      </c>
      <c r="C62" s="39" t="s">
        <v>199</v>
      </c>
      <c r="D62" s="38" t="s">
        <v>61</v>
      </c>
      <c r="E62" s="39" t="s">
        <v>200</v>
      </c>
      <c r="F62" s="38" t="s">
        <v>201</v>
      </c>
      <c r="G62" s="38" t="s">
        <v>202</v>
      </c>
      <c r="H62" s="39">
        <v>160</v>
      </c>
      <c r="I62" s="40">
        <v>20</v>
      </c>
      <c r="J62" s="40">
        <v>21</v>
      </c>
      <c r="K62" s="40">
        <v>20</v>
      </c>
      <c r="L62" s="40">
        <v>7</v>
      </c>
      <c r="M62" s="40">
        <v>10</v>
      </c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38">
        <v>78</v>
      </c>
      <c r="AB62" s="42">
        <f t="shared" si="3"/>
        <v>12480</v>
      </c>
      <c r="AC62" s="40"/>
    </row>
    <row r="63" spans="1:29" ht="21.8" customHeight="1" x14ac:dyDescent="0.45">
      <c r="A63" s="38" t="s">
        <v>245</v>
      </c>
      <c r="B63" s="38" t="s">
        <v>4</v>
      </c>
      <c r="C63" s="39" t="s">
        <v>94</v>
      </c>
      <c r="D63" s="38" t="s">
        <v>93</v>
      </c>
      <c r="E63" s="39" t="s">
        <v>95</v>
      </c>
      <c r="F63" s="38" t="s">
        <v>96</v>
      </c>
      <c r="G63" s="38" t="s">
        <v>97</v>
      </c>
      <c r="H63" s="39">
        <v>278</v>
      </c>
      <c r="I63" s="40">
        <v>20</v>
      </c>
      <c r="J63" s="40">
        <v>21</v>
      </c>
      <c r="K63" s="40">
        <v>20</v>
      </c>
      <c r="L63" s="40">
        <v>7</v>
      </c>
      <c r="M63" s="40">
        <v>10</v>
      </c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38">
        <v>78</v>
      </c>
      <c r="AB63" s="42">
        <f t="shared" si="3"/>
        <v>21684</v>
      </c>
      <c r="AC63" s="40"/>
    </row>
    <row r="64" spans="1:29" ht="21.8" customHeight="1" x14ac:dyDescent="0.45">
      <c r="A64" s="38" t="s">
        <v>245</v>
      </c>
      <c r="B64" s="38" t="s">
        <v>4</v>
      </c>
      <c r="C64" s="39" t="s">
        <v>62</v>
      </c>
      <c r="D64" s="38" t="s">
        <v>61</v>
      </c>
      <c r="E64" s="39" t="s">
        <v>63</v>
      </c>
      <c r="F64" s="38" t="s">
        <v>64</v>
      </c>
      <c r="G64" s="38" t="s">
        <v>65</v>
      </c>
      <c r="H64" s="39">
        <v>240</v>
      </c>
      <c r="I64" s="40">
        <v>20</v>
      </c>
      <c r="J64" s="40">
        <v>21</v>
      </c>
      <c r="K64" s="40">
        <v>20</v>
      </c>
      <c r="L64" s="40">
        <v>7</v>
      </c>
      <c r="M64" s="40">
        <v>10</v>
      </c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38">
        <v>78</v>
      </c>
      <c r="AB64" s="42">
        <f t="shared" si="3"/>
        <v>18720</v>
      </c>
      <c r="AC64" s="40"/>
    </row>
    <row r="65" spans="1:29" ht="21.8" customHeight="1" x14ac:dyDescent="0.45">
      <c r="A65" s="38" t="s">
        <v>245</v>
      </c>
      <c r="B65" s="38" t="s">
        <v>4</v>
      </c>
      <c r="C65" s="39" t="s">
        <v>203</v>
      </c>
      <c r="D65" s="38" t="s">
        <v>69</v>
      </c>
      <c r="E65" s="39" t="s">
        <v>204</v>
      </c>
      <c r="F65" s="38" t="s">
        <v>205</v>
      </c>
      <c r="G65" s="38" t="s">
        <v>206</v>
      </c>
      <c r="H65" s="39">
        <v>187</v>
      </c>
      <c r="I65" s="40">
        <v>20</v>
      </c>
      <c r="J65" s="40">
        <v>21</v>
      </c>
      <c r="K65" s="40">
        <v>20</v>
      </c>
      <c r="L65" s="40">
        <v>7</v>
      </c>
      <c r="M65" s="40">
        <v>10</v>
      </c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38">
        <v>78</v>
      </c>
      <c r="AB65" s="42">
        <f t="shared" si="3"/>
        <v>14586</v>
      </c>
      <c r="AC65" s="40"/>
    </row>
    <row r="66" spans="1:29" ht="21.8" customHeight="1" x14ac:dyDescent="0.45">
      <c r="A66" s="38" t="s">
        <v>245</v>
      </c>
      <c r="B66" s="38" t="s">
        <v>4</v>
      </c>
      <c r="C66" s="39" t="s">
        <v>210</v>
      </c>
      <c r="D66" s="38" t="s">
        <v>61</v>
      </c>
      <c r="E66" s="39" t="s">
        <v>211</v>
      </c>
      <c r="F66" s="38" t="s">
        <v>212</v>
      </c>
      <c r="G66" s="38" t="s">
        <v>213</v>
      </c>
      <c r="H66" s="39">
        <v>210</v>
      </c>
      <c r="I66" s="40">
        <v>20</v>
      </c>
      <c r="J66" s="40">
        <v>21</v>
      </c>
      <c r="K66" s="40">
        <v>20</v>
      </c>
      <c r="L66" s="40"/>
      <c r="M66" s="40">
        <v>10</v>
      </c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38">
        <v>71</v>
      </c>
      <c r="AB66" s="42">
        <f t="shared" si="3"/>
        <v>14910</v>
      </c>
      <c r="AC66" s="40"/>
    </row>
    <row r="67" spans="1:29" ht="21.8" customHeight="1" x14ac:dyDescent="0.45">
      <c r="A67" s="38" t="s">
        <v>245</v>
      </c>
      <c r="B67" s="38" t="s">
        <v>4</v>
      </c>
      <c r="C67" s="39" t="s">
        <v>47</v>
      </c>
      <c r="D67" s="38" t="s">
        <v>161</v>
      </c>
      <c r="E67" s="39" t="s">
        <v>214</v>
      </c>
      <c r="F67" s="38" t="s">
        <v>215</v>
      </c>
      <c r="G67" s="38" t="s">
        <v>216</v>
      </c>
      <c r="H67" s="39">
        <v>160</v>
      </c>
      <c r="I67" s="40">
        <v>20</v>
      </c>
      <c r="J67" s="40">
        <v>21</v>
      </c>
      <c r="K67" s="40">
        <v>20</v>
      </c>
      <c r="L67" s="40">
        <v>7</v>
      </c>
      <c r="M67" s="40">
        <v>10</v>
      </c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38">
        <v>78</v>
      </c>
      <c r="AB67" s="42">
        <f t="shared" si="3"/>
        <v>12480</v>
      </c>
      <c r="AC67" s="40"/>
    </row>
    <row r="68" spans="1:29" ht="21.8" customHeight="1" x14ac:dyDescent="0.45">
      <c r="A68" s="38" t="s">
        <v>245</v>
      </c>
      <c r="B68" s="38" t="s">
        <v>4</v>
      </c>
      <c r="C68" s="39" t="s">
        <v>83</v>
      </c>
      <c r="D68" s="38" t="s">
        <v>74</v>
      </c>
      <c r="E68" s="39" t="s">
        <v>84</v>
      </c>
      <c r="F68" s="38" t="s">
        <v>85</v>
      </c>
      <c r="G68" s="38" t="s">
        <v>86</v>
      </c>
      <c r="H68" s="39">
        <v>200</v>
      </c>
      <c r="I68" s="40">
        <v>20</v>
      </c>
      <c r="J68" s="40">
        <v>21</v>
      </c>
      <c r="K68" s="40">
        <v>20</v>
      </c>
      <c r="L68" s="40">
        <v>7</v>
      </c>
      <c r="M68" s="40">
        <v>10</v>
      </c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38">
        <v>78</v>
      </c>
      <c r="AB68" s="42">
        <f t="shared" si="3"/>
        <v>15600</v>
      </c>
      <c r="AC68" s="40"/>
    </row>
    <row r="69" spans="1:29" ht="21.8" customHeight="1" x14ac:dyDescent="0.45">
      <c r="A69" s="38" t="s">
        <v>245</v>
      </c>
      <c r="B69" s="38" t="s">
        <v>4</v>
      </c>
      <c r="C69" s="39" t="s">
        <v>217</v>
      </c>
      <c r="D69" s="38" t="s">
        <v>69</v>
      </c>
      <c r="E69" s="39" t="s">
        <v>92</v>
      </c>
      <c r="F69" s="38" t="s">
        <v>90</v>
      </c>
      <c r="G69" s="38" t="s">
        <v>262</v>
      </c>
      <c r="H69" s="39">
        <v>285</v>
      </c>
      <c r="I69" s="40"/>
      <c r="J69" s="40"/>
      <c r="K69" s="40"/>
      <c r="L69" s="40">
        <v>7</v>
      </c>
      <c r="M69" s="40"/>
      <c r="N69" s="40">
        <v>5</v>
      </c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38">
        <v>12</v>
      </c>
      <c r="AB69" s="42">
        <f t="shared" si="3"/>
        <v>3420</v>
      </c>
      <c r="AC69" s="40"/>
    </row>
    <row r="70" spans="1:29" ht="21.8" customHeight="1" x14ac:dyDescent="0.45">
      <c r="A70" s="38" t="s">
        <v>245</v>
      </c>
      <c r="B70" s="38" t="s">
        <v>4</v>
      </c>
      <c r="C70" s="39" t="s">
        <v>75</v>
      </c>
      <c r="D70" s="38" t="s">
        <v>78</v>
      </c>
      <c r="E70" s="39" t="s">
        <v>207</v>
      </c>
      <c r="F70" s="38" t="s">
        <v>208</v>
      </c>
      <c r="G70" s="38" t="s">
        <v>209</v>
      </c>
      <c r="H70" s="39">
        <v>230</v>
      </c>
      <c r="I70" s="40">
        <v>20</v>
      </c>
      <c r="J70" s="40">
        <v>21</v>
      </c>
      <c r="K70" s="40">
        <v>20</v>
      </c>
      <c r="L70" s="40">
        <v>7</v>
      </c>
      <c r="M70" s="40">
        <v>10</v>
      </c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38">
        <v>78</v>
      </c>
      <c r="AB70" s="42">
        <f t="shared" si="3"/>
        <v>17940</v>
      </c>
      <c r="AC70" s="40"/>
    </row>
    <row r="71" spans="1:29" ht="21.8" customHeight="1" x14ac:dyDescent="0.45">
      <c r="A71" s="43"/>
      <c r="B71" s="43"/>
      <c r="C71" s="44"/>
      <c r="D71" s="43"/>
      <c r="E71" s="44"/>
      <c r="F71" s="43"/>
      <c r="G71" s="43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50" t="s">
        <v>502</v>
      </c>
      <c r="AB71" s="45">
        <f>SUM(AB61:AB70)</f>
        <v>143910</v>
      </c>
    </row>
    <row r="72" spans="1:29" ht="20.350000000000001" x14ac:dyDescent="0.45">
      <c r="A72" s="22" t="s">
        <v>500</v>
      </c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49"/>
      <c r="AB72" s="22"/>
      <c r="AC72" s="22"/>
    </row>
    <row r="73" spans="1:29" ht="79.95" x14ac:dyDescent="0.4">
      <c r="A73" s="29" t="s">
        <v>54</v>
      </c>
      <c r="B73" s="47" t="s">
        <v>0</v>
      </c>
      <c r="C73" s="29" t="s">
        <v>57</v>
      </c>
      <c r="D73" s="29" t="s">
        <v>56</v>
      </c>
      <c r="E73" s="29" t="s">
        <v>1</v>
      </c>
      <c r="F73" s="29" t="s">
        <v>2</v>
      </c>
      <c r="G73" s="29" t="s">
        <v>3</v>
      </c>
      <c r="H73" s="47" t="s">
        <v>546</v>
      </c>
      <c r="I73" s="30" t="s">
        <v>323</v>
      </c>
      <c r="J73" s="30" t="s">
        <v>324</v>
      </c>
      <c r="K73" s="30" t="s">
        <v>325</v>
      </c>
      <c r="L73" s="30" t="s">
        <v>326</v>
      </c>
      <c r="M73" s="31" t="s">
        <v>327</v>
      </c>
      <c r="N73" s="32" t="s">
        <v>328</v>
      </c>
      <c r="O73" s="32" t="s">
        <v>329</v>
      </c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36" t="s">
        <v>487</v>
      </c>
      <c r="AB73" s="37" t="s">
        <v>488</v>
      </c>
      <c r="AC73" s="36" t="s">
        <v>495</v>
      </c>
    </row>
    <row r="74" spans="1:29" ht="21.8" customHeight="1" x14ac:dyDescent="0.45">
      <c r="A74" s="38" t="s">
        <v>245</v>
      </c>
      <c r="B74" s="38" t="s">
        <v>103</v>
      </c>
      <c r="C74" s="39" t="s">
        <v>154</v>
      </c>
      <c r="D74" s="38" t="s">
        <v>93</v>
      </c>
      <c r="E74" s="39" t="s">
        <v>95</v>
      </c>
      <c r="F74" s="38" t="s">
        <v>155</v>
      </c>
      <c r="G74" s="38" t="s">
        <v>156</v>
      </c>
      <c r="H74" s="39">
        <v>278</v>
      </c>
      <c r="I74" s="40">
        <v>16</v>
      </c>
      <c r="J74" s="40">
        <v>17</v>
      </c>
      <c r="K74" s="40">
        <v>16</v>
      </c>
      <c r="L74" s="40">
        <v>17</v>
      </c>
      <c r="M74" s="40">
        <v>20</v>
      </c>
      <c r="N74" s="40">
        <v>10</v>
      </c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38">
        <v>96</v>
      </c>
      <c r="AB74" s="42">
        <f t="shared" ref="AB74:AB82" si="4">AA74*H74</f>
        <v>26688</v>
      </c>
      <c r="AC74" s="40"/>
    </row>
    <row r="75" spans="1:29" ht="21.8" customHeight="1" x14ac:dyDescent="0.45">
      <c r="A75" s="38" t="s">
        <v>245</v>
      </c>
      <c r="B75" s="38" t="s">
        <v>103</v>
      </c>
      <c r="C75" s="39" t="s">
        <v>221</v>
      </c>
      <c r="D75" s="38" t="s">
        <v>69</v>
      </c>
      <c r="E75" s="39" t="s">
        <v>222</v>
      </c>
      <c r="F75" s="38" t="s">
        <v>223</v>
      </c>
      <c r="G75" s="38" t="s">
        <v>224</v>
      </c>
      <c r="H75" s="39">
        <v>218</v>
      </c>
      <c r="I75" s="40">
        <v>16</v>
      </c>
      <c r="J75" s="40">
        <v>17</v>
      </c>
      <c r="K75" s="40">
        <v>16</v>
      </c>
      <c r="L75" s="40">
        <v>17</v>
      </c>
      <c r="M75" s="40">
        <v>20</v>
      </c>
      <c r="N75" s="40">
        <v>10</v>
      </c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38">
        <v>96</v>
      </c>
      <c r="AB75" s="42">
        <f t="shared" si="4"/>
        <v>20928</v>
      </c>
      <c r="AC75" s="40"/>
    </row>
    <row r="76" spans="1:29" ht="21.8" customHeight="1" x14ac:dyDescent="0.45">
      <c r="A76" s="38" t="s">
        <v>245</v>
      </c>
      <c r="B76" s="38" t="s">
        <v>103</v>
      </c>
      <c r="C76" s="39" t="s">
        <v>116</v>
      </c>
      <c r="D76" s="38" t="s">
        <v>69</v>
      </c>
      <c r="E76" s="39" t="s">
        <v>218</v>
      </c>
      <c r="F76" s="38" t="s">
        <v>219</v>
      </c>
      <c r="G76" s="38" t="s">
        <v>220</v>
      </c>
      <c r="H76" s="39">
        <v>205</v>
      </c>
      <c r="I76" s="40">
        <v>16</v>
      </c>
      <c r="J76" s="40">
        <v>17</v>
      </c>
      <c r="K76" s="40">
        <v>16</v>
      </c>
      <c r="L76" s="40">
        <v>17</v>
      </c>
      <c r="M76" s="40">
        <v>20</v>
      </c>
      <c r="N76" s="40">
        <v>10</v>
      </c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38">
        <v>96</v>
      </c>
      <c r="AB76" s="42">
        <f t="shared" si="4"/>
        <v>19680</v>
      </c>
      <c r="AC76" s="40"/>
    </row>
    <row r="77" spans="1:29" ht="21.8" customHeight="1" x14ac:dyDescent="0.45">
      <c r="A77" s="38" t="s">
        <v>245</v>
      </c>
      <c r="B77" s="38" t="s">
        <v>103</v>
      </c>
      <c r="C77" s="39" t="s">
        <v>235</v>
      </c>
      <c r="D77" s="38" t="s">
        <v>161</v>
      </c>
      <c r="E77" s="39" t="s">
        <v>236</v>
      </c>
      <c r="F77" s="38" t="s">
        <v>90</v>
      </c>
      <c r="G77" s="38" t="s">
        <v>262</v>
      </c>
      <c r="H77" s="39">
        <v>150</v>
      </c>
      <c r="I77" s="40">
        <v>16</v>
      </c>
      <c r="J77" s="40">
        <v>17</v>
      </c>
      <c r="K77" s="40">
        <v>16</v>
      </c>
      <c r="L77" s="40">
        <v>17</v>
      </c>
      <c r="M77" s="40">
        <v>20</v>
      </c>
      <c r="N77" s="40">
        <v>10</v>
      </c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38">
        <v>96</v>
      </c>
      <c r="AB77" s="42">
        <f t="shared" si="4"/>
        <v>14400</v>
      </c>
      <c r="AC77" s="40"/>
    </row>
    <row r="78" spans="1:29" ht="21.8" customHeight="1" x14ac:dyDescent="0.45">
      <c r="A78" s="38" t="s">
        <v>245</v>
      </c>
      <c r="B78" s="38" t="s">
        <v>103</v>
      </c>
      <c r="C78" s="39" t="s">
        <v>237</v>
      </c>
      <c r="D78" s="38" t="s">
        <v>69</v>
      </c>
      <c r="E78" s="39" t="s">
        <v>92</v>
      </c>
      <c r="F78" s="38" t="s">
        <v>90</v>
      </c>
      <c r="G78" s="38" t="s">
        <v>262</v>
      </c>
      <c r="H78" s="39">
        <v>254</v>
      </c>
      <c r="I78" s="40"/>
      <c r="J78" s="40"/>
      <c r="K78" s="40"/>
      <c r="L78" s="40"/>
      <c r="M78" s="40">
        <v>20</v>
      </c>
      <c r="N78" s="40"/>
      <c r="O78" s="40">
        <v>5</v>
      </c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38">
        <v>25</v>
      </c>
      <c r="AB78" s="42">
        <f t="shared" si="4"/>
        <v>6350</v>
      </c>
      <c r="AC78" s="40"/>
    </row>
    <row r="79" spans="1:29" ht="21.8" customHeight="1" x14ac:dyDescent="0.45">
      <c r="A79" s="38" t="s">
        <v>245</v>
      </c>
      <c r="B79" s="38" t="s">
        <v>103</v>
      </c>
      <c r="C79" s="39" t="s">
        <v>228</v>
      </c>
      <c r="D79" s="38" t="s">
        <v>78</v>
      </c>
      <c r="E79" s="39" t="s">
        <v>229</v>
      </c>
      <c r="F79" s="38" t="s">
        <v>230</v>
      </c>
      <c r="G79" s="38" t="s">
        <v>231</v>
      </c>
      <c r="H79" s="39">
        <v>230</v>
      </c>
      <c r="I79" s="40">
        <v>16</v>
      </c>
      <c r="J79" s="40">
        <v>17</v>
      </c>
      <c r="K79" s="40">
        <v>16</v>
      </c>
      <c r="L79" s="40">
        <v>17</v>
      </c>
      <c r="M79" s="40">
        <v>20</v>
      </c>
      <c r="N79" s="40">
        <v>10</v>
      </c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38">
        <v>96</v>
      </c>
      <c r="AB79" s="42">
        <f t="shared" si="4"/>
        <v>22080</v>
      </c>
      <c r="AC79" s="40"/>
    </row>
    <row r="80" spans="1:29" ht="21.8" customHeight="1" x14ac:dyDescent="0.45">
      <c r="A80" s="38" t="s">
        <v>245</v>
      </c>
      <c r="B80" s="38" t="s">
        <v>103</v>
      </c>
      <c r="C80" s="39" t="s">
        <v>162</v>
      </c>
      <c r="D80" s="38" t="s">
        <v>161</v>
      </c>
      <c r="E80" s="39" t="s">
        <v>163</v>
      </c>
      <c r="F80" s="38" t="s">
        <v>90</v>
      </c>
      <c r="G80" s="38" t="s">
        <v>262</v>
      </c>
      <c r="H80" s="39">
        <v>160</v>
      </c>
      <c r="I80" s="40">
        <v>16</v>
      </c>
      <c r="J80" s="40">
        <v>17</v>
      </c>
      <c r="K80" s="40">
        <v>16</v>
      </c>
      <c r="L80" s="40">
        <v>17</v>
      </c>
      <c r="M80" s="40">
        <v>20</v>
      </c>
      <c r="N80" s="40">
        <v>10</v>
      </c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38">
        <v>96</v>
      </c>
      <c r="AB80" s="42">
        <f t="shared" si="4"/>
        <v>15360</v>
      </c>
      <c r="AC80" s="40"/>
    </row>
    <row r="81" spans="1:29" ht="21.8" customHeight="1" x14ac:dyDescent="0.45">
      <c r="A81" s="38" t="s">
        <v>245</v>
      </c>
      <c r="B81" s="38" t="s">
        <v>103</v>
      </c>
      <c r="C81" s="39" t="s">
        <v>150</v>
      </c>
      <c r="D81" s="38" t="s">
        <v>93</v>
      </c>
      <c r="E81" s="39" t="s">
        <v>232</v>
      </c>
      <c r="F81" s="38" t="s">
        <v>233</v>
      </c>
      <c r="G81" s="38" t="s">
        <v>234</v>
      </c>
      <c r="H81" s="39">
        <v>280</v>
      </c>
      <c r="I81" s="40">
        <v>16</v>
      </c>
      <c r="J81" s="40">
        <v>17</v>
      </c>
      <c r="K81" s="40">
        <v>16</v>
      </c>
      <c r="L81" s="40">
        <v>17</v>
      </c>
      <c r="M81" s="40">
        <v>20</v>
      </c>
      <c r="N81" s="40">
        <v>10</v>
      </c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38">
        <v>96</v>
      </c>
      <c r="AB81" s="42">
        <f t="shared" si="4"/>
        <v>26880</v>
      </c>
      <c r="AC81" s="40"/>
    </row>
    <row r="82" spans="1:29" ht="21.8" customHeight="1" x14ac:dyDescent="0.45">
      <c r="A82" s="38" t="s">
        <v>245</v>
      </c>
      <c r="B82" s="38" t="s">
        <v>103</v>
      </c>
      <c r="C82" s="39" t="s">
        <v>225</v>
      </c>
      <c r="D82" s="38" t="s">
        <v>69</v>
      </c>
      <c r="E82" s="39" t="s">
        <v>204</v>
      </c>
      <c r="F82" s="38" t="s">
        <v>226</v>
      </c>
      <c r="G82" s="38" t="s">
        <v>227</v>
      </c>
      <c r="H82" s="39">
        <v>187</v>
      </c>
      <c r="I82" s="40">
        <v>16</v>
      </c>
      <c r="J82" s="40">
        <v>17</v>
      </c>
      <c r="K82" s="40">
        <v>16</v>
      </c>
      <c r="L82" s="40">
        <v>17</v>
      </c>
      <c r="M82" s="40">
        <v>20</v>
      </c>
      <c r="N82" s="40">
        <v>10</v>
      </c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38">
        <v>96</v>
      </c>
      <c r="AB82" s="42">
        <f t="shared" si="4"/>
        <v>17952</v>
      </c>
      <c r="AC82" s="40"/>
    </row>
    <row r="83" spans="1:29" ht="21.8" customHeight="1" x14ac:dyDescent="0.45">
      <c r="A83" s="43"/>
      <c r="B83" s="43"/>
      <c r="C83" s="44"/>
      <c r="D83" s="43"/>
      <c r="E83" s="44"/>
      <c r="F83" s="43"/>
      <c r="G83" s="43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50" t="s">
        <v>502</v>
      </c>
      <c r="AB83" s="45">
        <f>SUM(AB74:AB82)</f>
        <v>170318</v>
      </c>
    </row>
    <row r="84" spans="1:29" ht="20.350000000000001" x14ac:dyDescent="0.45">
      <c r="A84" s="22" t="s">
        <v>501</v>
      </c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49"/>
      <c r="AB84" s="22"/>
      <c r="AC84" s="22"/>
    </row>
    <row r="85" spans="1:29" ht="79.95" x14ac:dyDescent="0.4">
      <c r="A85" s="29" t="s">
        <v>54</v>
      </c>
      <c r="B85" s="47" t="s">
        <v>0</v>
      </c>
      <c r="C85" s="29" t="s">
        <v>57</v>
      </c>
      <c r="D85" s="29" t="s">
        <v>56</v>
      </c>
      <c r="E85" s="29" t="s">
        <v>1</v>
      </c>
      <c r="F85" s="29" t="s">
        <v>2</v>
      </c>
      <c r="G85" s="29" t="s">
        <v>3</v>
      </c>
      <c r="H85" s="47" t="s">
        <v>546</v>
      </c>
      <c r="I85" s="30" t="s">
        <v>330</v>
      </c>
      <c r="J85" s="30" t="s">
        <v>331</v>
      </c>
      <c r="K85" s="30" t="s">
        <v>332</v>
      </c>
      <c r="L85" s="30" t="s">
        <v>333</v>
      </c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36" t="s">
        <v>487</v>
      </c>
      <c r="AB85" s="37" t="s">
        <v>488</v>
      </c>
      <c r="AC85" s="36" t="s">
        <v>495</v>
      </c>
    </row>
    <row r="86" spans="1:29" ht="21.8" customHeight="1" x14ac:dyDescent="0.45">
      <c r="A86" s="38" t="s">
        <v>245</v>
      </c>
      <c r="B86" s="38" t="s">
        <v>164</v>
      </c>
      <c r="C86" s="39" t="s">
        <v>241</v>
      </c>
      <c r="D86" s="38" t="s">
        <v>69</v>
      </c>
      <c r="E86" s="39" t="s">
        <v>242</v>
      </c>
      <c r="F86" s="38" t="s">
        <v>243</v>
      </c>
      <c r="G86" s="38" t="s">
        <v>244</v>
      </c>
      <c r="H86" s="39">
        <v>233</v>
      </c>
      <c r="I86" s="40">
        <v>28</v>
      </c>
      <c r="J86" s="40">
        <v>29</v>
      </c>
      <c r="K86" s="40">
        <v>26</v>
      </c>
      <c r="L86" s="40">
        <v>27</v>
      </c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38">
        <v>110</v>
      </c>
      <c r="AB86" s="42">
        <f t="shared" ref="AB86:AB89" si="5">AA86*H86</f>
        <v>25630</v>
      </c>
      <c r="AC86" s="40"/>
    </row>
    <row r="87" spans="1:29" ht="21.8" customHeight="1" x14ac:dyDescent="0.45">
      <c r="A87" s="38" t="s">
        <v>245</v>
      </c>
      <c r="B87" s="38" t="s">
        <v>164</v>
      </c>
      <c r="C87" s="39" t="s">
        <v>238</v>
      </c>
      <c r="D87" s="38" t="s">
        <v>69</v>
      </c>
      <c r="E87" s="39" t="s">
        <v>218</v>
      </c>
      <c r="F87" s="38" t="s">
        <v>239</v>
      </c>
      <c r="G87" s="38" t="s">
        <v>240</v>
      </c>
      <c r="H87" s="39">
        <v>205</v>
      </c>
      <c r="I87" s="40">
        <v>28</v>
      </c>
      <c r="J87" s="40">
        <v>29</v>
      </c>
      <c r="K87" s="40">
        <v>26</v>
      </c>
      <c r="L87" s="40">
        <v>27</v>
      </c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38">
        <v>110</v>
      </c>
      <c r="AB87" s="42">
        <f t="shared" si="5"/>
        <v>22550</v>
      </c>
      <c r="AC87" s="40"/>
    </row>
    <row r="88" spans="1:29" ht="21.8" customHeight="1" x14ac:dyDescent="0.45">
      <c r="A88" s="38" t="s">
        <v>245</v>
      </c>
      <c r="B88" s="38" t="s">
        <v>164</v>
      </c>
      <c r="C88" s="39" t="s">
        <v>210</v>
      </c>
      <c r="D88" s="38" t="s">
        <v>61</v>
      </c>
      <c r="E88" s="39" t="s">
        <v>211</v>
      </c>
      <c r="F88" s="38" t="s">
        <v>212</v>
      </c>
      <c r="G88" s="38" t="s">
        <v>213</v>
      </c>
      <c r="H88" s="39">
        <v>210</v>
      </c>
      <c r="I88" s="40"/>
      <c r="J88" s="40"/>
      <c r="K88" s="40"/>
      <c r="L88" s="40">
        <v>27</v>
      </c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38">
        <v>27</v>
      </c>
      <c r="AB88" s="42">
        <f t="shared" si="5"/>
        <v>5670</v>
      </c>
      <c r="AC88" s="40"/>
    </row>
    <row r="89" spans="1:29" ht="21.8" customHeight="1" x14ac:dyDescent="0.45">
      <c r="A89" s="38" t="s">
        <v>245</v>
      </c>
      <c r="B89" s="38" t="s">
        <v>164</v>
      </c>
      <c r="C89" s="39" t="s">
        <v>197</v>
      </c>
      <c r="D89" s="38" t="s">
        <v>196</v>
      </c>
      <c r="E89" s="39" t="s">
        <v>198</v>
      </c>
      <c r="F89" s="38" t="s">
        <v>90</v>
      </c>
      <c r="G89" s="38" t="s">
        <v>262</v>
      </c>
      <c r="H89" s="39">
        <v>145</v>
      </c>
      <c r="I89" s="40">
        <v>28</v>
      </c>
      <c r="J89" s="40">
        <v>29</v>
      </c>
      <c r="K89" s="40">
        <v>26</v>
      </c>
      <c r="L89" s="40">
        <v>27</v>
      </c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38">
        <v>110</v>
      </c>
      <c r="AB89" s="42">
        <f t="shared" si="5"/>
        <v>15950</v>
      </c>
      <c r="AC89" s="40"/>
    </row>
    <row r="90" spans="1:29" ht="21.8" customHeight="1" x14ac:dyDescent="0.45">
      <c r="AA90" s="50" t="s">
        <v>502</v>
      </c>
      <c r="AB90" s="6">
        <f>SUM(AB86:AB89)</f>
        <v>69800</v>
      </c>
    </row>
    <row r="91" spans="1:29" x14ac:dyDescent="0.45">
      <c r="AA91" s="50" t="s">
        <v>504</v>
      </c>
      <c r="AB91" s="6">
        <f>SUM(AB90,AB83,AB71)</f>
        <v>384028</v>
      </c>
    </row>
    <row r="92" spans="1:29" x14ac:dyDescent="0.45">
      <c r="AA92" s="50" t="s">
        <v>505</v>
      </c>
      <c r="AB92" s="6">
        <f>SUM(AB91,AB58)</f>
        <v>3285598</v>
      </c>
    </row>
  </sheetData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scale="81" fitToHeight="0" orientation="landscape" r:id="rId1"/>
  <rowBreaks count="4" manualBreakCount="4">
    <brk id="24" max="16383" man="1"/>
    <brk id="44" max="16383" man="1"/>
    <brk id="58" max="16383" man="1"/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00B050"/>
  </sheetPr>
  <dimension ref="A1:K32"/>
  <sheetViews>
    <sheetView zoomScaleNormal="100" workbookViewId="0">
      <selection activeCell="B5" sqref="B5"/>
    </sheetView>
  </sheetViews>
  <sheetFormatPr defaultColWidth="9.1015625" defaultRowHeight="19.25" x14ac:dyDescent="0.45"/>
  <cols>
    <col min="1" max="3" width="9.1015625" style="55" customWidth="1"/>
    <col min="4" max="7" width="9.1015625" style="58" customWidth="1"/>
    <col min="8" max="14" width="9.1015625" style="54" customWidth="1"/>
    <col min="15" max="16384" width="9.1015625" style="54"/>
  </cols>
  <sheetData>
    <row r="1" spans="1:11" ht="60.05" customHeight="1" x14ac:dyDescent="0.45">
      <c r="A1" s="52"/>
      <c r="B1" s="52"/>
      <c r="C1" s="52"/>
      <c r="D1" s="52"/>
      <c r="E1" s="52"/>
      <c r="F1" s="52"/>
      <c r="G1" s="52"/>
      <c r="H1" s="52"/>
      <c r="I1" s="52"/>
      <c r="J1" s="53"/>
      <c r="K1" s="26"/>
    </row>
    <row r="2" spans="1:11" ht="20.100000000000001" customHeight="1" thickBot="1" x14ac:dyDescent="0.5">
      <c r="A2" s="70" t="s">
        <v>515</v>
      </c>
      <c r="E2" s="55"/>
      <c r="F2" s="55"/>
      <c r="G2" s="55"/>
      <c r="H2" s="55"/>
      <c r="I2" s="55"/>
    </row>
    <row r="3" spans="1:11" ht="20" thickTop="1" thickBot="1" x14ac:dyDescent="0.5">
      <c r="A3" s="93" t="s">
        <v>516</v>
      </c>
      <c r="B3" s="92" t="s">
        <v>60</v>
      </c>
      <c r="D3" s="55"/>
      <c r="E3" s="55"/>
      <c r="F3" s="55"/>
      <c r="G3" s="55"/>
      <c r="H3" s="55"/>
      <c r="I3" s="55"/>
    </row>
    <row r="4" spans="1:11" ht="20" thickTop="1" thickBot="1" x14ac:dyDescent="0.5">
      <c r="A4" s="58"/>
      <c r="C4" s="58"/>
    </row>
    <row r="5" spans="1:11" ht="20" thickTop="1" thickBot="1" x14ac:dyDescent="0.5">
      <c r="A5" s="94" t="s">
        <v>518</v>
      </c>
      <c r="B5" s="92" t="s">
        <v>5</v>
      </c>
      <c r="C5" s="58"/>
    </row>
    <row r="6" spans="1:11" ht="20" thickTop="1" thickBot="1" x14ac:dyDescent="0.5">
      <c r="A6" s="58"/>
      <c r="B6" s="58"/>
      <c r="C6" s="58"/>
    </row>
    <row r="7" spans="1:11" ht="20" thickTop="1" thickBot="1" x14ac:dyDescent="0.5">
      <c r="A7" s="94" t="s">
        <v>517</v>
      </c>
      <c r="B7" s="92"/>
      <c r="C7" s="58"/>
    </row>
    <row r="8" spans="1:11" ht="19.600000000000001" thickTop="1" x14ac:dyDescent="0.45">
      <c r="A8" s="58"/>
      <c r="B8" s="58"/>
      <c r="C8" s="58"/>
    </row>
    <row r="9" spans="1:11" x14ac:dyDescent="0.45">
      <c r="C9" s="58"/>
    </row>
    <row r="10" spans="1:11" x14ac:dyDescent="0.45">
      <c r="A10" s="58"/>
      <c r="B10" s="58"/>
      <c r="C10" s="58"/>
    </row>
    <row r="11" spans="1:11" x14ac:dyDescent="0.45">
      <c r="C11" s="58"/>
    </row>
    <row r="12" spans="1:11" x14ac:dyDescent="0.45">
      <c r="A12" s="58"/>
      <c r="B12" s="58"/>
      <c r="C12" s="58"/>
    </row>
    <row r="13" spans="1:11" x14ac:dyDescent="0.45">
      <c r="A13" s="58"/>
      <c r="B13" s="58"/>
      <c r="C13" s="58"/>
    </row>
    <row r="14" spans="1:11" x14ac:dyDescent="0.45">
      <c r="A14" s="58"/>
      <c r="B14" s="58"/>
      <c r="C14" s="58"/>
    </row>
    <row r="15" spans="1:11" x14ac:dyDescent="0.45">
      <c r="A15" s="58"/>
      <c r="B15" s="58"/>
      <c r="C15" s="58"/>
    </row>
    <row r="16" spans="1:11" x14ac:dyDescent="0.45">
      <c r="A16" s="58"/>
      <c r="B16" s="58"/>
      <c r="C16" s="58"/>
    </row>
    <row r="17" spans="1:3" x14ac:dyDescent="0.45">
      <c r="A17" s="58"/>
      <c r="B17" s="58"/>
      <c r="C17" s="58"/>
    </row>
    <row r="18" spans="1:3" x14ac:dyDescent="0.45">
      <c r="A18" s="58"/>
      <c r="B18" s="58"/>
      <c r="C18" s="58"/>
    </row>
    <row r="19" spans="1:3" x14ac:dyDescent="0.45">
      <c r="A19" s="58"/>
      <c r="B19" s="58"/>
      <c r="C19" s="58"/>
    </row>
    <row r="20" spans="1:3" x14ac:dyDescent="0.45">
      <c r="A20" s="58"/>
      <c r="B20" s="58"/>
      <c r="C20" s="58"/>
    </row>
    <row r="21" spans="1:3" x14ac:dyDescent="0.45">
      <c r="A21" s="58"/>
      <c r="B21" s="58"/>
      <c r="C21" s="58"/>
    </row>
    <row r="22" spans="1:3" x14ac:dyDescent="0.45">
      <c r="A22" s="58"/>
      <c r="B22" s="58"/>
      <c r="C22" s="58"/>
    </row>
    <row r="23" spans="1:3" x14ac:dyDescent="0.45">
      <c r="A23" s="58"/>
      <c r="B23" s="58"/>
      <c r="C23" s="58"/>
    </row>
    <row r="24" spans="1:3" x14ac:dyDescent="0.45">
      <c r="A24" s="58"/>
      <c r="B24" s="58"/>
      <c r="C24" s="58"/>
    </row>
    <row r="25" spans="1:3" x14ac:dyDescent="0.45">
      <c r="A25" s="58"/>
      <c r="B25" s="58"/>
      <c r="C25" s="58"/>
    </row>
    <row r="26" spans="1:3" x14ac:dyDescent="0.45">
      <c r="A26" s="58"/>
      <c r="B26" s="58"/>
      <c r="C26" s="58"/>
    </row>
    <row r="27" spans="1:3" x14ac:dyDescent="0.45">
      <c r="A27" s="58"/>
      <c r="B27" s="58"/>
      <c r="C27" s="58"/>
    </row>
    <row r="28" spans="1:3" x14ac:dyDescent="0.45">
      <c r="A28" s="58"/>
      <c r="B28" s="58"/>
      <c r="C28" s="58"/>
    </row>
    <row r="29" spans="1:3" x14ac:dyDescent="0.45">
      <c r="A29" s="58"/>
      <c r="B29" s="58"/>
      <c r="C29" s="58"/>
    </row>
    <row r="30" spans="1:3" x14ac:dyDescent="0.45">
      <c r="A30" s="58"/>
      <c r="B30" s="58"/>
      <c r="C30" s="58"/>
    </row>
    <row r="31" spans="1:3" x14ac:dyDescent="0.45">
      <c r="A31" s="58"/>
      <c r="B31" s="58"/>
      <c r="C31" s="58"/>
    </row>
    <row r="32" spans="1:3" x14ac:dyDescent="0.45">
      <c r="A32" s="58"/>
      <c r="B32" s="58"/>
      <c r="C32" s="58"/>
    </row>
  </sheetData>
  <phoneticPr fontId="3" type="noConversion"/>
  <dataValidations count="3">
    <dataValidation type="list" allowBlank="1" showInputMessage="1" showErrorMessage="1" sqref="B7">
      <formula1>"一,二,三"</formula1>
    </dataValidation>
    <dataValidation type="list" allowBlank="1" showInputMessage="1" showErrorMessage="1" sqref="B3">
      <formula1>"日校,進修"</formula1>
    </dataValidation>
    <dataValidation type="list" allowBlank="1" showInputMessage="1" showErrorMessage="1" sqref="B5">
      <formula1>"三民,台科大,幼獅,全華,育達,東大,信樺,南一,泰宇,啟芳,翔宇,華興,旗立,翰林,龍騰"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1266" r:id="rId4" name="txtSQL">
          <controlPr defaultSize="0" print="0" disabled="1" autoLine="0" r:id="rId5">
            <anchor>
              <from>
                <xdr:col>3</xdr:col>
                <xdr:colOff>95749</xdr:colOff>
                <xdr:row>1</xdr:row>
                <xdr:rowOff>47874</xdr:rowOff>
              </from>
              <to>
                <xdr:col>8</xdr:col>
                <xdr:colOff>737265</xdr:colOff>
                <xdr:row>12</xdr:row>
                <xdr:rowOff>43087</xdr:rowOff>
              </to>
            </anchor>
          </controlPr>
        </control>
      </mc:Choice>
      <mc:Fallback>
        <control shapeId="11266" r:id="rId4" name="txtSQL"/>
      </mc:Fallback>
    </mc:AlternateContent>
    <mc:AlternateContent xmlns:mc="http://schemas.openxmlformats.org/markup-compatibility/2006">
      <mc:Choice Requires="x14">
        <control shapeId="11265" r:id="rId6" name="cmd產生訂購單">
          <controlPr defaultSize="0" print="0" autoLine="0" r:id="rId7">
            <anchor moveWithCells="1">
              <from>
                <xdr:col>0</xdr:col>
                <xdr:colOff>191497</xdr:colOff>
                <xdr:row>0</xdr:row>
                <xdr:rowOff>172348</xdr:rowOff>
              </from>
              <to>
                <xdr:col>1</xdr:col>
                <xdr:colOff>651091</xdr:colOff>
                <xdr:row>0</xdr:row>
                <xdr:rowOff>564917</xdr:rowOff>
              </to>
            </anchor>
          </controlPr>
        </control>
      </mc:Choice>
      <mc:Fallback>
        <control shapeId="11265" r:id="rId6" name="cmd產生訂購單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5"/>
  </sheetPr>
  <dimension ref="A1:AE56"/>
  <sheetViews>
    <sheetView tabSelected="1" zoomScaleNormal="100" workbookViewId="0">
      <pane ySplit="5" topLeftCell="A15" activePane="bottomLeft" state="frozen"/>
      <selection pane="bottomLeft" activeCell="C5" sqref="C5"/>
    </sheetView>
  </sheetViews>
  <sheetFormatPr defaultColWidth="9.1015625" defaultRowHeight="19.25" x14ac:dyDescent="0.45"/>
  <cols>
    <col min="1" max="1" width="3.68359375" style="55" bestFit="1" customWidth="1"/>
    <col min="2" max="2" width="2.7890625" style="55" customWidth="1"/>
    <col min="3" max="3" width="16.20703125" style="55" customWidth="1"/>
    <col min="4" max="4" width="3.68359375" style="58" bestFit="1" customWidth="1"/>
    <col min="5" max="5" width="13.41796875" style="58" customWidth="1"/>
    <col min="6" max="6" width="6.5234375" style="58" bestFit="1" customWidth="1"/>
    <col min="7" max="7" width="11" style="58" customWidth="1"/>
    <col min="8" max="8" width="4" style="54" customWidth="1"/>
    <col min="9" max="9" width="3.89453125" style="54" customWidth="1"/>
    <col min="10" max="27" width="2.5234375" style="54" bestFit="1" customWidth="1"/>
    <col min="28" max="31" width="2.5234375" style="54" customWidth="1"/>
    <col min="32" max="16384" width="9.1015625" style="54"/>
  </cols>
  <sheetData>
    <row r="1" spans="1:31" ht="22.35" customHeight="1" x14ac:dyDescent="0.55000000000000004">
      <c r="A1" s="73" t="s">
        <v>513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1"/>
      <c r="X1" s="71"/>
      <c r="Y1" s="71"/>
      <c r="Z1" s="71"/>
      <c r="AA1" s="71"/>
      <c r="AB1" s="71"/>
      <c r="AC1" s="71"/>
    </row>
    <row r="2" spans="1:31" ht="20.100000000000001" customHeight="1" x14ac:dyDescent="0.45">
      <c r="A2" s="75" t="str">
        <f>"書商："&amp;VLOOKUP(D6,書商!$A$2:$J$26,2,)&amp;"      負責人：" &amp; VLOOKUP(D6,書商!$A$2:$J$26,4,)&amp;"      電話：" &amp; VLOOKUP(D6,書商!$A$2:$J$26,5,)&amp;"      傳真：" &amp; VLOOKUP(D6,書商!$A$2:$J$26,6,)&amp;"      通訊地址："&amp;VLOOKUP(D6,書商!$A$2:$J$26,7,)&amp;VLOOKUP(D6,書商!$A$2:$J$26,8,)</f>
        <v>書商：翰林出版事業股份有限公司      負責人：(蕭)06-2631188#264      電話：(黃)04-24732018#205      傳真：04-24734074      通訊地址：702台南市新樂路76號</v>
      </c>
      <c r="B2" s="75"/>
      <c r="C2" s="76"/>
      <c r="D2" s="75"/>
      <c r="E2" s="78"/>
      <c r="F2" s="75"/>
      <c r="G2" s="77"/>
      <c r="H2" s="75"/>
      <c r="I2" s="75"/>
      <c r="J2" s="75"/>
      <c r="K2" s="75"/>
      <c r="L2" s="75"/>
      <c r="M2" s="75"/>
      <c r="N2" s="75"/>
      <c r="O2" s="77"/>
      <c r="P2" s="75"/>
      <c r="Q2" s="77"/>
      <c r="R2" s="75"/>
      <c r="S2" s="75"/>
      <c r="T2" s="75"/>
      <c r="U2" s="75"/>
      <c r="V2" s="75"/>
      <c r="W2" s="75"/>
      <c r="X2" s="75"/>
      <c r="Y2" s="75"/>
      <c r="Z2" s="75"/>
      <c r="AA2" s="75"/>
      <c r="AB2" s="77"/>
      <c r="AC2" s="77"/>
    </row>
    <row r="3" spans="1:31" ht="3.05" customHeight="1" x14ac:dyDescent="0.45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31" ht="3.05" customHeight="1" x14ac:dyDescent="0.45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31" ht="40.35" x14ac:dyDescent="0.4">
      <c r="A5" s="79" t="s">
        <v>54</v>
      </c>
      <c r="B5" s="80" t="s">
        <v>0</v>
      </c>
      <c r="C5" s="79" t="s">
        <v>57</v>
      </c>
      <c r="D5" s="79" t="s">
        <v>56</v>
      </c>
      <c r="E5" s="79" t="s">
        <v>1</v>
      </c>
      <c r="F5" s="81" t="s">
        <v>2</v>
      </c>
      <c r="G5" s="79" t="s">
        <v>3</v>
      </c>
      <c r="H5" s="83" t="s">
        <v>546</v>
      </c>
      <c r="I5" s="82" t="s">
        <v>514</v>
      </c>
      <c r="J5" s="30" t="s">
        <v>550</v>
      </c>
      <c r="K5" s="30" t="s">
        <v>551</v>
      </c>
      <c r="L5" s="30" t="s">
        <v>552</v>
      </c>
      <c r="M5" s="30" t="s">
        <v>553</v>
      </c>
      <c r="N5" s="31" t="s">
        <v>506</v>
      </c>
      <c r="O5" s="31" t="s">
        <v>507</v>
      </c>
      <c r="P5" s="31" t="s">
        <v>508</v>
      </c>
      <c r="Q5" s="31" t="s">
        <v>509</v>
      </c>
      <c r="R5" s="32" t="s">
        <v>510</v>
      </c>
      <c r="S5" s="32" t="s">
        <v>554</v>
      </c>
      <c r="T5" s="32" t="s">
        <v>555</v>
      </c>
      <c r="U5" s="32" t="s">
        <v>556</v>
      </c>
      <c r="V5" s="33" t="s">
        <v>557</v>
      </c>
      <c r="W5" s="33" t="s">
        <v>558</v>
      </c>
      <c r="X5" s="34" t="s">
        <v>559</v>
      </c>
      <c r="Y5" s="34" t="s">
        <v>560</v>
      </c>
      <c r="Z5" s="35" t="s">
        <v>561</v>
      </c>
      <c r="AA5" s="35" t="s">
        <v>562</v>
      </c>
      <c r="AB5" s="74"/>
      <c r="AC5" s="74"/>
      <c r="AD5" s="68"/>
      <c r="AE5" s="68"/>
    </row>
    <row r="6" spans="1:31" x14ac:dyDescent="0.45">
      <c r="A6" s="57" t="s">
        <v>60</v>
      </c>
      <c r="B6" s="57">
        <v>1</v>
      </c>
      <c r="C6" s="56" t="s">
        <v>19</v>
      </c>
      <c r="D6" s="57" t="s">
        <v>5</v>
      </c>
      <c r="E6" s="56" t="s">
        <v>20</v>
      </c>
      <c r="F6" s="57" t="s">
        <v>21</v>
      </c>
      <c r="G6" s="57" t="s">
        <v>22</v>
      </c>
      <c r="H6" s="56">
        <v>206</v>
      </c>
      <c r="I6" s="56">
        <v>154</v>
      </c>
      <c r="J6" s="56">
        <v>39</v>
      </c>
      <c r="K6" s="56">
        <v>39</v>
      </c>
      <c r="L6" s="56">
        <v>38</v>
      </c>
      <c r="M6" s="56">
        <v>38</v>
      </c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67"/>
      <c r="AE6" s="67"/>
    </row>
    <row r="7" spans="1:31" x14ac:dyDescent="0.45">
      <c r="A7" s="57" t="s">
        <v>60</v>
      </c>
      <c r="B7" s="57">
        <v>1</v>
      </c>
      <c r="C7" s="56" t="s">
        <v>37</v>
      </c>
      <c r="D7" s="57" t="s">
        <v>5</v>
      </c>
      <c r="E7" s="56" t="s">
        <v>38</v>
      </c>
      <c r="F7" s="57" t="s">
        <v>39</v>
      </c>
      <c r="G7" s="57" t="s">
        <v>40</v>
      </c>
      <c r="H7" s="56">
        <v>218</v>
      </c>
      <c r="I7" s="56">
        <v>78</v>
      </c>
      <c r="J7" s="56">
        <v>39</v>
      </c>
      <c r="K7" s="56">
        <v>39</v>
      </c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67"/>
      <c r="AE7" s="67"/>
    </row>
    <row r="8" spans="1:31" x14ac:dyDescent="0.45">
      <c r="A8" s="57" t="s">
        <v>60</v>
      </c>
      <c r="B8" s="57">
        <v>1</v>
      </c>
      <c r="C8" s="56" t="s">
        <v>6</v>
      </c>
      <c r="D8" s="57" t="s">
        <v>5</v>
      </c>
      <c r="E8" s="56" t="s">
        <v>7</v>
      </c>
      <c r="F8" s="57" t="s">
        <v>8</v>
      </c>
      <c r="G8" s="57" t="s">
        <v>9</v>
      </c>
      <c r="H8" s="56">
        <v>195</v>
      </c>
      <c r="I8" s="56">
        <v>154</v>
      </c>
      <c r="J8" s="56">
        <v>39</v>
      </c>
      <c r="K8" s="56">
        <v>39</v>
      </c>
      <c r="L8" s="56">
        <v>38</v>
      </c>
      <c r="M8" s="56">
        <v>38</v>
      </c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67"/>
      <c r="AE8" s="67"/>
    </row>
    <row r="9" spans="1:31" x14ac:dyDescent="0.45">
      <c r="A9" s="57" t="s">
        <v>60</v>
      </c>
      <c r="B9" s="57">
        <v>1</v>
      </c>
      <c r="C9" s="56" t="s">
        <v>15</v>
      </c>
      <c r="D9" s="57" t="s">
        <v>5</v>
      </c>
      <c r="E9" s="56" t="s">
        <v>16</v>
      </c>
      <c r="F9" s="57" t="s">
        <v>17</v>
      </c>
      <c r="G9" s="57" t="s">
        <v>18</v>
      </c>
      <c r="H9" s="56">
        <v>215</v>
      </c>
      <c r="I9" s="56">
        <v>154</v>
      </c>
      <c r="J9" s="56">
        <v>39</v>
      </c>
      <c r="K9" s="56">
        <v>39</v>
      </c>
      <c r="L9" s="56">
        <v>38</v>
      </c>
      <c r="M9" s="56">
        <v>38</v>
      </c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67"/>
      <c r="AE9" s="67"/>
    </row>
    <row r="10" spans="1:31" x14ac:dyDescent="0.45">
      <c r="A10" s="57" t="s">
        <v>60</v>
      </c>
      <c r="B10" s="57">
        <v>2</v>
      </c>
      <c r="C10" s="56" t="s">
        <v>116</v>
      </c>
      <c r="D10" s="57" t="s">
        <v>5</v>
      </c>
      <c r="E10" s="56" t="s">
        <v>7</v>
      </c>
      <c r="F10" s="57" t="s">
        <v>117</v>
      </c>
      <c r="G10" s="57" t="s">
        <v>118</v>
      </c>
      <c r="H10" s="56">
        <v>199</v>
      </c>
      <c r="I10" s="56">
        <v>548</v>
      </c>
      <c r="J10" s="56"/>
      <c r="K10" s="56"/>
      <c r="L10" s="56"/>
      <c r="M10" s="56"/>
      <c r="N10" s="56">
        <v>40</v>
      </c>
      <c r="O10" s="56">
        <v>38</v>
      </c>
      <c r="P10" s="56">
        <v>40</v>
      </c>
      <c r="Q10" s="56">
        <v>38</v>
      </c>
      <c r="R10" s="56">
        <v>39</v>
      </c>
      <c r="S10" s="56">
        <v>38</v>
      </c>
      <c r="T10" s="56">
        <v>37</v>
      </c>
      <c r="U10" s="56">
        <v>39</v>
      </c>
      <c r="V10" s="56">
        <v>39</v>
      </c>
      <c r="W10" s="56">
        <v>40</v>
      </c>
      <c r="X10" s="56">
        <v>39</v>
      </c>
      <c r="Y10" s="56">
        <v>39</v>
      </c>
      <c r="Z10" s="56">
        <v>40</v>
      </c>
      <c r="AA10" s="56">
        <v>42</v>
      </c>
      <c r="AB10" s="56"/>
      <c r="AC10" s="56"/>
      <c r="AD10" s="67"/>
      <c r="AE10" s="67"/>
    </row>
    <row r="11" spans="1:31" x14ac:dyDescent="0.45">
      <c r="A11" s="57"/>
      <c r="B11" s="57"/>
      <c r="C11" s="56"/>
      <c r="D11" s="57"/>
      <c r="E11" s="56"/>
      <c r="F11" s="57"/>
      <c r="G11" s="57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67"/>
      <c r="AE11" s="67"/>
    </row>
    <row r="12" spans="1:31" x14ac:dyDescent="0.45">
      <c r="A12" s="57"/>
      <c r="B12" s="57"/>
      <c r="C12" s="56"/>
      <c r="D12" s="57"/>
      <c r="E12" s="56"/>
      <c r="F12" s="57"/>
      <c r="G12" s="57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67"/>
      <c r="AE12" s="67"/>
    </row>
    <row r="13" spans="1:31" x14ac:dyDescent="0.45">
      <c r="A13" s="57"/>
      <c r="B13" s="57"/>
      <c r="C13" s="56"/>
      <c r="D13" s="57"/>
      <c r="E13" s="56"/>
      <c r="F13" s="57"/>
      <c r="G13" s="57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67"/>
      <c r="AE13" s="67"/>
    </row>
    <row r="14" spans="1:31" x14ac:dyDescent="0.45">
      <c r="A14" s="57"/>
      <c r="B14" s="57"/>
      <c r="C14" s="56"/>
      <c r="D14" s="57"/>
      <c r="E14" s="56"/>
      <c r="F14" s="57"/>
      <c r="G14" s="57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67"/>
      <c r="AE14" s="67"/>
    </row>
    <row r="15" spans="1:31" x14ac:dyDescent="0.45">
      <c r="A15" s="57"/>
      <c r="B15" s="57"/>
      <c r="C15" s="56"/>
      <c r="D15" s="57"/>
      <c r="E15" s="56"/>
      <c r="F15" s="57"/>
      <c r="G15" s="57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67"/>
      <c r="AE15" s="67"/>
    </row>
    <row r="16" spans="1:31" x14ac:dyDescent="0.45">
      <c r="A16" s="57"/>
      <c r="B16" s="57"/>
      <c r="C16" s="56"/>
      <c r="D16" s="57"/>
      <c r="E16" s="56"/>
      <c r="F16" s="57"/>
      <c r="G16" s="57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67"/>
      <c r="AE16" s="67"/>
    </row>
    <row r="17" spans="1:31" x14ac:dyDescent="0.45">
      <c r="A17" s="57"/>
      <c r="B17" s="57"/>
      <c r="C17" s="56"/>
      <c r="D17" s="57"/>
      <c r="E17" s="56"/>
      <c r="F17" s="57"/>
      <c r="G17" s="57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67"/>
      <c r="AE17" s="67"/>
    </row>
    <row r="18" spans="1:31" x14ac:dyDescent="0.45">
      <c r="A18" s="57"/>
      <c r="B18" s="57"/>
      <c r="C18" s="56"/>
      <c r="D18" s="57"/>
      <c r="E18" s="56"/>
      <c r="F18" s="57"/>
      <c r="G18" s="57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67"/>
      <c r="AE18" s="67"/>
    </row>
    <row r="19" spans="1:31" x14ac:dyDescent="0.45">
      <c r="A19" s="57"/>
      <c r="B19" s="57"/>
      <c r="C19" s="56"/>
      <c r="D19" s="57"/>
      <c r="E19" s="56"/>
      <c r="F19" s="57"/>
      <c r="G19" s="57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67"/>
      <c r="AE19" s="67"/>
    </row>
    <row r="20" spans="1:31" x14ac:dyDescent="0.45">
      <c r="A20" s="57"/>
      <c r="B20" s="57"/>
      <c r="C20" s="56"/>
      <c r="D20" s="57"/>
      <c r="E20" s="56"/>
      <c r="F20" s="57"/>
      <c r="G20" s="57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67"/>
      <c r="AE20" s="67"/>
    </row>
    <row r="21" spans="1:31" x14ac:dyDescent="0.45">
      <c r="A21" s="57"/>
      <c r="B21" s="57"/>
      <c r="C21" s="56"/>
      <c r="D21" s="57"/>
      <c r="E21" s="56"/>
      <c r="F21" s="57"/>
      <c r="G21" s="57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67"/>
      <c r="AE21" s="67"/>
    </row>
    <row r="22" spans="1:31" x14ac:dyDescent="0.45">
      <c r="A22" s="57"/>
      <c r="B22" s="57"/>
      <c r="C22" s="56"/>
      <c r="D22" s="57"/>
      <c r="E22" s="56"/>
      <c r="F22" s="57"/>
      <c r="G22" s="57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67"/>
      <c r="AE22" s="67"/>
    </row>
    <row r="23" spans="1:31" x14ac:dyDescent="0.45">
      <c r="A23" s="57"/>
      <c r="B23" s="57"/>
      <c r="C23" s="56"/>
      <c r="D23" s="57"/>
      <c r="E23" s="56"/>
      <c r="F23" s="57"/>
      <c r="G23" s="57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67"/>
      <c r="AE23" s="67"/>
    </row>
    <row r="24" spans="1:31" x14ac:dyDescent="0.45">
      <c r="A24" s="57"/>
      <c r="B24" s="57"/>
      <c r="C24" s="56"/>
      <c r="D24" s="57"/>
      <c r="E24" s="56"/>
      <c r="F24" s="57"/>
      <c r="G24" s="57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67"/>
      <c r="AE24" s="67"/>
    </row>
    <row r="25" spans="1:31" x14ac:dyDescent="0.45">
      <c r="A25" s="57"/>
      <c r="B25" s="57"/>
      <c r="C25" s="56"/>
      <c r="D25" s="57"/>
      <c r="E25" s="56"/>
      <c r="F25" s="57"/>
      <c r="G25" s="57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67"/>
      <c r="AE25" s="67"/>
    </row>
    <row r="26" spans="1:31" x14ac:dyDescent="0.45">
      <c r="A26" s="57"/>
      <c r="B26" s="57"/>
      <c r="C26" s="56"/>
      <c r="D26" s="57"/>
      <c r="E26" s="56"/>
      <c r="F26" s="57"/>
      <c r="G26" s="57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67"/>
      <c r="AE26" s="67"/>
    </row>
    <row r="27" spans="1:31" x14ac:dyDescent="0.45">
      <c r="A27" s="57"/>
      <c r="B27" s="57"/>
      <c r="C27" s="56"/>
      <c r="D27" s="57"/>
      <c r="E27" s="56"/>
      <c r="F27" s="57"/>
      <c r="G27" s="57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67"/>
      <c r="AE27" s="67"/>
    </row>
    <row r="28" spans="1:31" x14ac:dyDescent="0.45">
      <c r="A28" s="84"/>
      <c r="B28" s="84"/>
      <c r="C28" s="85"/>
      <c r="D28" s="84"/>
      <c r="E28" s="85"/>
      <c r="F28" s="84"/>
      <c r="G28" s="84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</row>
    <row r="29" spans="1:31" x14ac:dyDescent="0.45">
      <c r="A29" s="86"/>
      <c r="B29" s="86"/>
      <c r="C29" s="87"/>
      <c r="D29" s="86"/>
      <c r="E29" s="87"/>
      <c r="F29" s="86"/>
      <c r="G29" s="86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</row>
    <row r="30" spans="1:31" x14ac:dyDescent="0.45">
      <c r="A30" s="86"/>
      <c r="B30" s="86"/>
      <c r="C30" s="87"/>
      <c r="D30" s="86"/>
      <c r="E30" s="87"/>
      <c r="F30" s="86"/>
      <c r="G30" s="86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</row>
    <row r="31" spans="1:31" x14ac:dyDescent="0.45">
      <c r="A31" s="86"/>
      <c r="B31" s="86"/>
      <c r="C31" s="87"/>
      <c r="D31" s="86"/>
      <c r="E31" s="87"/>
      <c r="F31" s="86"/>
      <c r="G31" s="86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</row>
    <row r="32" spans="1:31" x14ac:dyDescent="0.45">
      <c r="A32" s="86"/>
      <c r="B32" s="86"/>
      <c r="C32" s="87"/>
      <c r="D32" s="86"/>
      <c r="E32" s="87"/>
      <c r="F32" s="86"/>
      <c r="G32" s="86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</row>
    <row r="33" spans="1:29" x14ac:dyDescent="0.45">
      <c r="A33" s="86"/>
      <c r="B33" s="86"/>
      <c r="C33" s="87"/>
      <c r="D33" s="86"/>
      <c r="E33" s="87"/>
      <c r="F33" s="86"/>
      <c r="G33" s="86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</row>
    <row r="34" spans="1:29" x14ac:dyDescent="0.45">
      <c r="A34" s="86"/>
      <c r="B34" s="86"/>
      <c r="C34" s="87"/>
      <c r="D34" s="86"/>
      <c r="E34" s="87"/>
      <c r="F34" s="86"/>
      <c r="G34" s="86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</row>
    <row r="35" spans="1:29" x14ac:dyDescent="0.45">
      <c r="A35" s="86"/>
      <c r="B35" s="86"/>
      <c r="C35" s="87"/>
      <c r="D35" s="86"/>
      <c r="E35" s="87"/>
      <c r="F35" s="86"/>
      <c r="G35" s="86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</row>
    <row r="36" spans="1:29" x14ac:dyDescent="0.45">
      <c r="A36" s="86"/>
      <c r="B36" s="86"/>
      <c r="C36" s="87"/>
      <c r="D36" s="86"/>
      <c r="E36" s="87"/>
      <c r="F36" s="86"/>
      <c r="G36" s="86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</row>
    <row r="37" spans="1:29" x14ac:dyDescent="0.45">
      <c r="A37" s="86"/>
      <c r="B37" s="86"/>
      <c r="C37" s="87"/>
      <c r="D37" s="86"/>
      <c r="E37" s="87"/>
      <c r="F37" s="86"/>
      <c r="G37" s="86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</row>
    <row r="38" spans="1:29" s="58" customFormat="1" x14ac:dyDescent="0.45">
      <c r="A38" s="86"/>
      <c r="B38" s="86"/>
      <c r="C38" s="87"/>
      <c r="D38" s="86"/>
      <c r="E38" s="87"/>
      <c r="F38" s="86"/>
      <c r="G38" s="86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</row>
    <row r="39" spans="1:29" s="58" customFormat="1" x14ac:dyDescent="0.45">
      <c r="A39" s="86"/>
      <c r="B39" s="86"/>
      <c r="C39" s="87"/>
      <c r="D39" s="86"/>
      <c r="E39" s="87"/>
      <c r="F39" s="86"/>
      <c r="G39" s="86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</row>
    <row r="40" spans="1:29" s="58" customFormat="1" x14ac:dyDescent="0.45">
      <c r="A40" s="86"/>
      <c r="B40" s="86"/>
      <c r="C40" s="87"/>
      <c r="D40" s="86"/>
      <c r="E40" s="87"/>
      <c r="F40" s="86"/>
      <c r="G40" s="86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</row>
    <row r="41" spans="1:29" s="58" customFormat="1" x14ac:dyDescent="0.45">
      <c r="A41" s="86"/>
      <c r="B41" s="86"/>
      <c r="C41" s="87"/>
      <c r="D41" s="86"/>
      <c r="E41" s="87"/>
      <c r="F41" s="86"/>
      <c r="G41" s="86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</row>
    <row r="42" spans="1:29" s="58" customFormat="1" x14ac:dyDescent="0.45">
      <c r="A42" s="86"/>
      <c r="B42" s="86"/>
      <c r="C42" s="87"/>
      <c r="D42" s="86"/>
      <c r="E42" s="87"/>
      <c r="F42" s="86"/>
      <c r="G42" s="86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</row>
    <row r="43" spans="1:29" s="58" customFormat="1" x14ac:dyDescent="0.45">
      <c r="A43" s="86"/>
      <c r="B43" s="86"/>
      <c r="C43" s="87"/>
      <c r="D43" s="86"/>
      <c r="E43" s="87"/>
      <c r="F43" s="86"/>
      <c r="G43" s="86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</row>
    <row r="44" spans="1:29" s="58" customFormat="1" x14ac:dyDescent="0.45">
      <c r="A44" s="86"/>
      <c r="B44" s="86"/>
      <c r="C44" s="87"/>
      <c r="D44" s="86"/>
      <c r="E44" s="87"/>
      <c r="F44" s="86"/>
      <c r="G44" s="86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</row>
    <row r="45" spans="1:29" s="58" customFormat="1" x14ac:dyDescent="0.45">
      <c r="A45" s="86"/>
      <c r="B45" s="86"/>
      <c r="C45" s="87"/>
      <c r="D45" s="86"/>
      <c r="E45" s="87"/>
      <c r="F45" s="86"/>
      <c r="G45" s="86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</row>
    <row r="46" spans="1:29" s="58" customFormat="1" x14ac:dyDescent="0.45">
      <c r="A46" s="86"/>
      <c r="B46" s="86"/>
      <c r="C46" s="87"/>
      <c r="D46" s="86"/>
      <c r="E46" s="87"/>
      <c r="F46" s="86"/>
      <c r="G46" s="86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</row>
    <row r="47" spans="1:29" s="58" customFormat="1" x14ac:dyDescent="0.45">
      <c r="A47" s="86"/>
      <c r="B47" s="86"/>
      <c r="C47" s="87"/>
      <c r="D47" s="86"/>
      <c r="E47" s="87"/>
      <c r="F47" s="86"/>
      <c r="G47" s="86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</row>
    <row r="48" spans="1:29" s="58" customFormat="1" x14ac:dyDescent="0.45">
      <c r="A48" s="86"/>
      <c r="B48" s="86"/>
      <c r="C48" s="87"/>
      <c r="D48" s="86"/>
      <c r="E48" s="87"/>
      <c r="F48" s="86"/>
      <c r="G48" s="86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</row>
    <row r="49" spans="1:29" s="58" customFormat="1" x14ac:dyDescent="0.45">
      <c r="A49" s="86"/>
      <c r="B49" s="86"/>
      <c r="C49" s="87"/>
      <c r="D49" s="86"/>
      <c r="E49" s="87"/>
      <c r="F49" s="86"/>
      <c r="G49" s="86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</row>
    <row r="50" spans="1:29" s="58" customFormat="1" x14ac:dyDescent="0.45">
      <c r="A50" s="86"/>
      <c r="B50" s="86"/>
      <c r="C50" s="87"/>
      <c r="D50" s="86"/>
      <c r="E50" s="87"/>
      <c r="F50" s="86"/>
      <c r="G50" s="86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</row>
    <row r="51" spans="1:29" s="58" customFormat="1" x14ac:dyDescent="0.45">
      <c r="A51" s="86"/>
      <c r="B51" s="86"/>
      <c r="C51" s="87"/>
      <c r="D51" s="86"/>
      <c r="E51" s="87"/>
      <c r="F51" s="86"/>
      <c r="G51" s="86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</row>
    <row r="52" spans="1:29" s="58" customFormat="1" x14ac:dyDescent="0.45">
      <c r="A52" s="86"/>
      <c r="B52" s="86"/>
      <c r="C52" s="87"/>
      <c r="D52" s="86"/>
      <c r="E52" s="87"/>
      <c r="F52" s="86"/>
      <c r="G52" s="86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</row>
    <row r="53" spans="1:29" s="58" customFormat="1" x14ac:dyDescent="0.45">
      <c r="A53" s="86"/>
      <c r="B53" s="86"/>
      <c r="C53" s="87"/>
      <c r="D53" s="86"/>
      <c r="E53" s="87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</row>
    <row r="54" spans="1:29" s="58" customFormat="1" x14ac:dyDescent="0.45">
      <c r="A54" s="86"/>
      <c r="B54" s="86"/>
      <c r="C54" s="87"/>
      <c r="D54" s="86"/>
      <c r="E54" s="87"/>
      <c r="F54" s="86"/>
      <c r="G54" s="86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</row>
    <row r="55" spans="1:29" s="58" customFormat="1" x14ac:dyDescent="0.45"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</row>
    <row r="56" spans="1:29" s="58" customFormat="1" x14ac:dyDescent="0.45"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</row>
  </sheetData>
  <phoneticPr fontId="3" type="noConversion"/>
  <printOptions horizontalCentered="1"/>
  <pageMargins left="7.874015748031496E-2" right="7.874015748031496E-2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57" r:id="rId4" name="cmd重選">
          <controlPr defaultSize="0" print="0" autoLine="0" r:id="rId5">
            <anchor moveWithCells="1">
              <from>
                <xdr:col>2</xdr:col>
                <xdr:colOff>296821</xdr:colOff>
                <xdr:row>0</xdr:row>
                <xdr:rowOff>0</xdr:rowOff>
              </from>
              <to>
                <xdr:col>2</xdr:col>
                <xdr:colOff>1220796</xdr:colOff>
                <xdr:row>1</xdr:row>
                <xdr:rowOff>67024</xdr:rowOff>
              </to>
            </anchor>
          </controlPr>
        </control>
      </mc:Choice>
      <mc:Fallback>
        <control shapeId="23557" r:id="rId4" name="cmd重選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已命名的範圍</vt:lpstr>
      </vt:variant>
      <vt:variant>
        <vt:i4>7</vt:i4>
      </vt:variant>
    </vt:vector>
  </HeadingPairs>
  <TitlesOfParts>
    <vt:vector size="17" baseType="lpstr">
      <vt:lpstr>書商</vt:lpstr>
      <vt:lpstr>書單(班)</vt:lpstr>
      <vt:lpstr>x1書單_書商</vt:lpstr>
      <vt:lpstr>書單_書商1</vt:lpstr>
      <vt:lpstr>書單_書商2</vt:lpstr>
      <vt:lpstr>書商金額統計</vt:lpstr>
      <vt:lpstr>x1訂購數量</vt:lpstr>
      <vt:lpstr>訂購數量</vt:lpstr>
      <vt:lpstr>產生訂購單</vt:lpstr>
      <vt:lpstr>訂購數量表</vt:lpstr>
      <vt:lpstr>書商金額統計!Print_Area</vt:lpstr>
      <vt:lpstr>訂購數量表!Print_Titles</vt:lpstr>
      <vt:lpstr>書單_書商1!Print_Titles</vt:lpstr>
      <vt:lpstr>書單_書商2!Print_Titles</vt:lpstr>
      <vt:lpstr>產生訂購單!年級</vt:lpstr>
      <vt:lpstr>產生訂購單!書商</vt:lpstr>
      <vt:lpstr>產生訂購單!部別</vt:lpstr>
    </vt:vector>
  </TitlesOfParts>
  <Company>CHSC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Lee</dc:creator>
  <cp:lastModifiedBy>James Lee</cp:lastModifiedBy>
  <cp:lastPrinted>2018-01-14T15:10:07Z</cp:lastPrinted>
  <dcterms:created xsi:type="dcterms:W3CDTF">2017-12-26T16:48:02Z</dcterms:created>
  <dcterms:modified xsi:type="dcterms:W3CDTF">2018-01-14T15:13:15Z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615b410b-c90f-44fd-bdda-b52c8c7b9b39</vt:lpwstr>
  </property>
</Properties>
</file>